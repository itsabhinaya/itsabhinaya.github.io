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0" codeName="{51196F13-6AD0-C1B8-E2B4-A1F9AE17003E}"/>
  <workbookPr codeName="ThisWorkbook"/>
  <mc:AlternateContent xmlns:mc="http://schemas.openxmlformats.org/markup-compatibility/2006">
    <mc:Choice Requires="x15">
      <x15ac:absPath xmlns:x15ac="http://schemas.microsoft.com/office/spreadsheetml/2010/11/ac" url="/Users/abhinaya/Desktop/itsabhinaya.github.io/m25/other/"/>
    </mc:Choice>
  </mc:AlternateContent>
  <xr:revisionPtr revIDLastSave="0" documentId="13_ncr:1_{CFD93F89-98ED-5C43-9E10-BB4B0B3F5401}" xr6:coauthVersionLast="28" xr6:coauthVersionMax="28" xr10:uidLastSave="{00000000-0000-0000-0000-000000000000}"/>
  <bookViews>
    <workbookView xWindow="940" yWindow="460" windowWidth="27860" windowHeight="17540" tabRatio="500" activeTab="2" xr2:uid="{00000000-000D-0000-FFFF-FFFF00000000}"/>
  </bookViews>
  <sheets>
    <sheet name="advisors" sheetId="2" r:id="rId1"/>
    <sheet name="team" sheetId="1" r:id="rId2"/>
    <sheet name="portfolio" sheetId="3" r:id="rId3"/>
    <sheet name="portfolio_data" sheetId="4" r:id="rId4"/>
  </sheets>
  <functionGroups builtInGroupCount="19"/>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2" i="3" l="1"/>
  <c r="D3" i="3"/>
  <c r="D4" i="3"/>
  <c r="D5" i="3"/>
  <c r="I5" i="3" s="1"/>
  <c r="I2" i="3"/>
  <c r="I3" i="3"/>
  <c r="I4" i="3"/>
  <c r="A6" i="3"/>
  <c r="E14" i="2"/>
  <c r="F14" i="2"/>
  <c r="F15" i="2"/>
  <c r="E10" i="2"/>
  <c r="F10" i="2"/>
  <c r="E11" i="2"/>
  <c r="F11" i="2"/>
  <c r="E12" i="2" s="1"/>
  <c r="K12" i="2" s="1"/>
  <c r="F12" i="2"/>
  <c r="E13" i="2"/>
  <c r="F13" i="2"/>
  <c r="K6" i="2"/>
  <c r="K9" i="2"/>
  <c r="F4" i="2"/>
  <c r="E5" i="2"/>
  <c r="K5" i="2" s="1"/>
  <c r="F5" i="2"/>
  <c r="E6" i="2" s="1"/>
  <c r="F6" i="2"/>
  <c r="E7" i="2"/>
  <c r="K7" i="2" s="1"/>
  <c r="F7" i="2"/>
  <c r="E8" i="2" s="1"/>
  <c r="K8" i="2" s="1"/>
  <c r="F8" i="2"/>
  <c r="E9" i="2" s="1"/>
  <c r="F9" i="2"/>
  <c r="K11" i="2"/>
  <c r="F2" i="1" a="1"/>
  <c r="F2" i="1" s="1"/>
  <c r="E2" i="2" a="1"/>
  <c r="E2" i="2" s="1"/>
  <c r="K2" i="2" s="1"/>
  <c r="L6" i="1"/>
  <c r="G3" i="1"/>
  <c r="G6" i="1"/>
  <c r="G7" i="1"/>
  <c r="F6" i="1"/>
  <c r="F7" i="1"/>
  <c r="K14" i="2" l="1"/>
  <c r="K10" i="2"/>
  <c r="K13" i="2"/>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E45" i="3" l="1"/>
  <c r="E23" i="3"/>
  <c r="I23" i="3" s="1"/>
  <c r="E46" i="3"/>
  <c r="E24" i="3"/>
  <c r="I24" i="3" s="1"/>
  <c r="E43" i="3"/>
  <c r="E25" i="3"/>
  <c r="I25" i="3" s="1"/>
  <c r="E41" i="3"/>
  <c r="I41" i="3" s="1"/>
  <c r="E44" i="3"/>
  <c r="I44" i="3" s="1"/>
  <c r="E26" i="3"/>
  <c r="I26" i="3" s="1"/>
  <c r="E11" i="3"/>
  <c r="I11" i="3" s="1"/>
  <c r="E58" i="3"/>
  <c r="I58" i="3"/>
  <c r="E10" i="3"/>
  <c r="E59" i="3"/>
  <c r="I59" i="3" s="1"/>
  <c r="E8" i="3"/>
  <c r="E9" i="3"/>
  <c r="I9" i="3" s="1"/>
  <c r="E60" i="3"/>
  <c r="I60" i="3" s="1"/>
  <c r="E61" i="3"/>
  <c r="I61" i="3" s="1"/>
  <c r="E7" i="3"/>
  <c r="I7" i="3" s="1"/>
  <c r="E62" i="3"/>
  <c r="I62" i="3" s="1"/>
  <c r="E6" i="3"/>
  <c r="I6" i="3" s="1"/>
  <c r="E63" i="3"/>
  <c r="I63" i="3" s="1"/>
  <c r="E37" i="3"/>
  <c r="I37" i="3" s="1"/>
  <c r="E31" i="3"/>
  <c r="I31" i="3" s="1"/>
  <c r="E38" i="3"/>
  <c r="I38" i="3" s="1"/>
  <c r="E32" i="3"/>
  <c r="I32" i="3" s="1"/>
  <c r="E39" i="3"/>
  <c r="I39" i="3" s="1"/>
  <c r="E33" i="3"/>
  <c r="I33" i="3" s="1"/>
  <c r="E34" i="3"/>
  <c r="I34" i="3" s="1"/>
  <c r="E35" i="3"/>
  <c r="I35" i="3" s="1"/>
  <c r="E36" i="3"/>
  <c r="I36" i="3" s="1"/>
  <c r="E28" i="3"/>
  <c r="I28" i="3" s="1"/>
  <c r="E29" i="3"/>
  <c r="I29" i="3" s="1"/>
  <c r="E40" i="3"/>
  <c r="I40" i="3" s="1"/>
  <c r="E30" i="3"/>
  <c r="I30" i="3" s="1"/>
  <c r="E42" i="3"/>
  <c r="I42" i="3" s="1"/>
  <c r="I43" i="3"/>
  <c r="E27" i="3"/>
  <c r="I27" i="3" s="1"/>
  <c r="E21" i="3"/>
  <c r="I21" i="3" s="1"/>
  <c r="I45" i="3"/>
  <c r="E22" i="3"/>
  <c r="I46" i="3"/>
  <c r="E47" i="3"/>
  <c r="I47" i="3" s="1"/>
  <c r="E48" i="3"/>
  <c r="I48" i="3" s="1"/>
  <c r="E19" i="3"/>
  <c r="I19" i="3" s="1"/>
  <c r="E49" i="3"/>
  <c r="I49" i="3" s="1"/>
  <c r="E20" i="3"/>
  <c r="I20" i="3" s="1"/>
  <c r="E50" i="3"/>
  <c r="I50" i="3" s="1"/>
  <c r="E16" i="3"/>
  <c r="I16" i="3" s="1"/>
  <c r="E51" i="3"/>
  <c r="I51" i="3" s="1"/>
  <c r="E17" i="3"/>
  <c r="E52" i="3"/>
  <c r="I52" i="3" s="1"/>
  <c r="E18" i="3"/>
  <c r="I18" i="3" s="1"/>
  <c r="E53" i="3"/>
  <c r="I53" i="3" s="1"/>
  <c r="E15" i="3"/>
  <c r="I15" i="3" s="1"/>
  <c r="E54" i="3"/>
  <c r="I54" i="3" s="1"/>
  <c r="E14" i="3"/>
  <c r="I14" i="3" s="1"/>
  <c r="E55" i="3"/>
  <c r="I55" i="3" s="1"/>
  <c r="E13" i="3"/>
  <c r="I13" i="3" s="1"/>
  <c r="E56" i="3"/>
  <c r="I56" i="3" s="1"/>
  <c r="E12" i="3"/>
  <c r="I12" i="3" s="1"/>
  <c r="E57" i="3"/>
  <c r="I57" i="3" s="1"/>
  <c r="I17" i="3"/>
  <c r="I22" i="3"/>
  <c r="A20" i="3"/>
  <c r="A16" i="3"/>
  <c r="A17" i="3"/>
  <c r="A18" i="3"/>
  <c r="A15" i="3"/>
  <c r="A14" i="3"/>
  <c r="A13" i="3"/>
  <c r="A12" i="3"/>
  <c r="A11" i="3"/>
  <c r="A10" i="3"/>
  <c r="A8" i="3"/>
  <c r="A9" i="3"/>
  <c r="A7" i="3"/>
  <c r="A25" i="3"/>
  <c r="A26" i="3"/>
  <c r="A27" i="3"/>
  <c r="A21" i="3"/>
  <c r="A22" i="3"/>
  <c r="A23" i="3"/>
  <c r="A24" i="3"/>
  <c r="A19" i="3"/>
  <c r="A44" i="3"/>
  <c r="A42" i="3"/>
  <c r="A40" i="3"/>
  <c r="A36" i="3"/>
  <c r="A37" i="3"/>
  <c r="A38" i="3"/>
  <c r="A39" i="3"/>
  <c r="A32" i="3"/>
  <c r="A33" i="3"/>
  <c r="A34" i="3"/>
  <c r="A35" i="3"/>
  <c r="A31" i="3"/>
  <c r="A28" i="3"/>
  <c r="A29" i="3"/>
  <c r="A30" i="3"/>
  <c r="A43" i="3"/>
  <c r="A50" i="3"/>
  <c r="A52" i="3"/>
  <c r="A47" i="3"/>
  <c r="A55" i="3"/>
  <c r="A45" i="3"/>
  <c r="A53" i="3"/>
  <c r="A61" i="3"/>
  <c r="A56" i="3"/>
  <c r="A48" i="3"/>
  <c r="A46" i="3"/>
  <c r="A62" i="3"/>
  <c r="A57" i="3"/>
  <c r="A41" i="3"/>
  <c r="A49" i="3"/>
  <c r="A51" i="3"/>
  <c r="A54" i="3"/>
  <c r="A59" i="3"/>
  <c r="A60" i="3"/>
  <c r="A58" i="3"/>
  <c r="A63" i="3"/>
  <c r="K23" i="4"/>
  <c r="I8" i="3"/>
  <c r="I10" i="3"/>
  <c r="E3" i="2"/>
  <c r="K3" i="2" s="1"/>
  <c r="F3" i="2"/>
  <c r="E4" i="2" s="1"/>
  <c r="K4" i="2" s="1"/>
  <c r="E15" i="2"/>
  <c r="K15" i="2" s="1"/>
  <c r="L2" i="1"/>
  <c r="G5" i="1"/>
  <c r="G4" i="1"/>
  <c r="F5" i="1" s="1"/>
  <c r="L3" i="1"/>
  <c r="F4" i="1"/>
  <c r="L4" i="1" s="1"/>
  <c r="F3" i="1"/>
  <c r="L5" i="1" l="1"/>
  <c r="L7" i="1"/>
</calcChain>
</file>

<file path=xl/sharedStrings.xml><?xml version="1.0" encoding="utf-8"?>
<sst xmlns="http://schemas.openxmlformats.org/spreadsheetml/2006/main" count="703" uniqueCount="307">
  <si>
    <t>name</t>
  </si>
  <si>
    <t>title</t>
  </si>
  <si>
    <t>desc</t>
  </si>
  <si>
    <t>twitter</t>
  </si>
  <si>
    <t>medium</t>
  </si>
  <si>
    <t>prev</t>
  </si>
  <si>
    <t>next</t>
  </si>
  <si>
    <t>Victor Gutwein</t>
  </si>
  <si>
    <t>Managing Director &amp; Board Member</t>
  </si>
  <si>
    <t>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t>
  </si>
  <si>
    <t>https://twitter.com/lalayak</t>
  </si>
  <si>
    <t>https://medium.com/@lalayak</t>
  </si>
  <si>
    <t>teamModal2</t>
  </si>
  <si>
    <t>teamModal6</t>
  </si>
  <si>
    <t>current</t>
  </si>
  <si>
    <t>teamModal1</t>
  </si>
  <si>
    <t>img</t>
  </si>
  <si>
    <t>img/team/victor.jpg</t>
  </si>
  <si>
    <t>Mike Asem</t>
  </si>
  <si>
    <t>Director</t>
  </si>
  <si>
    <t>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t>
  </si>
  <si>
    <t>https://twitter.com/DMikeAsem</t>
  </si>
  <si>
    <t>https://medium.com/@dmikeasem</t>
  </si>
  <si>
    <t>teamModal3</t>
  </si>
  <si>
    <t>img/team/mike.jpg</t>
  </si>
  <si>
    <t>teamModal4</t>
  </si>
  <si>
    <t>teamModal5</t>
  </si>
  <si>
    <t>Abhinaya Konduru</t>
  </si>
  <si>
    <t>Analyst</t>
  </si>
  <si>
    <t>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t>
  </si>
  <si>
    <t>https://twitter.com/itsabhinaya</t>
  </si>
  <si>
    <t>https://medium.com/@itsabhinaya</t>
  </si>
  <si>
    <t>img/team/abhinaya.jpg</t>
  </si>
  <si>
    <t>Katherine Schulman</t>
  </si>
  <si>
    <t>Associate</t>
  </si>
  <si>
    <t>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t>
  </si>
  <si>
    <t>https://twitter.com/kpschulman</t>
  </si>
  <si>
    <t>https://medium.com/@kpschulman</t>
  </si>
  <si>
    <t>img/team/katherine.jpg</t>
  </si>
  <si>
    <t>Steve Cittadine</t>
  </si>
  <si>
    <t>Energy</t>
  </si>
  <si>
    <t>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t>
  </si>
  <si>
    <t>Pat East</t>
  </si>
  <si>
    <t>Marketing</t>
  </si>
  <si>
    <t>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t>
  </si>
  <si>
    <t>John Gorup</t>
  </si>
  <si>
    <t>Healthcare, Medicine</t>
  </si>
  <si>
    <t>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t>
  </si>
  <si>
    <t>Cary Gutwein</t>
  </si>
  <si>
    <t>Consumer Products, Agriculture, Real Estate</t>
  </si>
  <si>
    <t>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t>
  </si>
  <si>
    <t>Stan Gutwein</t>
  </si>
  <si>
    <t>SaaS, Mobile, Software</t>
  </si>
  <si>
    <t>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t>
  </si>
  <si>
    <t>advisorModal1</t>
  </si>
  <si>
    <t>advisorModal2</t>
  </si>
  <si>
    <t>advisorModal3</t>
  </si>
  <si>
    <t>advisorModal4</t>
  </si>
  <si>
    <t>advisorModal5</t>
  </si>
  <si>
    <t>advisorModal6</t>
  </si>
  <si>
    <t>Company name</t>
  </si>
  <si>
    <t>url</t>
  </si>
  <si>
    <t>class</t>
  </si>
  <si>
    <t>App Press</t>
  </si>
  <si>
    <t>BallotReady</t>
  </si>
  <si>
    <t>Block Six Analytics</t>
  </si>
  <si>
    <t>BoxFox</t>
  </si>
  <si>
    <t>ConceptDrop</t>
  </si>
  <si>
    <t>Dabble</t>
  </si>
  <si>
    <t>Dattus</t>
  </si>
  <si>
    <t>Eastman Egg</t>
  </si>
  <si>
    <t>Glidera</t>
  </si>
  <si>
    <t>Hearken</t>
  </si>
  <si>
    <t>JetPack Workflow</t>
  </si>
  <si>
    <t>Luna Lights</t>
  </si>
  <si>
    <t>Mimir</t>
  </si>
  <si>
    <t>Nativ/Pairade</t>
  </si>
  <si>
    <t>PactSafe</t>
  </si>
  <si>
    <t>Page Vault</t>
  </si>
  <si>
    <t>Regroup Therapy</t>
  </si>
  <si>
    <t>Scanalytics</t>
  </si>
  <si>
    <t>Sentic</t>
  </si>
  <si>
    <t>Skyepack</t>
  </si>
  <si>
    <t>ZipFit</t>
  </si>
  <si>
    <t>Sportsman Tracker</t>
  </si>
  <si>
    <t>ExplORer Surgical</t>
  </si>
  <si>
    <t>Realync</t>
  </si>
  <si>
    <t>KnowledgeHound</t>
  </si>
  <si>
    <t>Rewards21</t>
  </si>
  <si>
    <t>PrintWithMe</t>
  </si>
  <si>
    <t>Spatial</t>
  </si>
  <si>
    <t>Chowly</t>
  </si>
  <si>
    <t>ANGLR</t>
  </si>
  <si>
    <t>Cladwell</t>
  </si>
  <si>
    <t>Branch Messenger</t>
  </si>
  <si>
    <t>Petronics (Sprite Robotics)</t>
  </si>
  <si>
    <t>Costello (Navigait)</t>
  </si>
  <si>
    <t>Astronomer</t>
  </si>
  <si>
    <t>FamilyTech (Choremonster)</t>
  </si>
  <si>
    <t>CompleteSet</t>
  </si>
  <si>
    <t>Rentalutions</t>
  </si>
  <si>
    <t>ScriptDrop</t>
  </si>
  <si>
    <t>Kin (Bright Policy)</t>
  </si>
  <si>
    <t>RapChat</t>
  </si>
  <si>
    <t>Cheddar Getter</t>
  </si>
  <si>
    <t>Opendorse</t>
  </si>
  <si>
    <t>MarkIt Medical</t>
  </si>
  <si>
    <t>DataCubes</t>
  </si>
  <si>
    <t>EmployStream</t>
  </si>
  <si>
    <t>Ryvit</t>
  </si>
  <si>
    <t>Geneticure</t>
  </si>
  <si>
    <t>CFX Markets</t>
  </si>
  <si>
    <t>Idelic Tech</t>
  </si>
  <si>
    <t>BackStitch</t>
  </si>
  <si>
    <t>AMOpportunities</t>
  </si>
  <si>
    <t>Parrable</t>
  </si>
  <si>
    <t>VirtualKey</t>
  </si>
  <si>
    <t>Hippo Manager</t>
  </si>
  <si>
    <t>ChangeDynamix</t>
  </si>
  <si>
    <t>Bizzy Coffee</t>
  </si>
  <si>
    <t>SafeChain</t>
  </si>
  <si>
    <t>PortCo</t>
  </si>
  <si>
    <t>State</t>
  </si>
  <si>
    <t>Fund Type</t>
  </si>
  <si>
    <t>B2B, B2C</t>
  </si>
  <si>
    <t>Industry Categories (multiple if needed</t>
  </si>
  <si>
    <t>IN</t>
  </si>
  <si>
    <t>funds1</t>
  </si>
  <si>
    <t>B2B</t>
  </si>
  <si>
    <t>Enterprise Software</t>
  </si>
  <si>
    <t>IL</t>
  </si>
  <si>
    <t>Education, Government &amp; Law</t>
  </si>
  <si>
    <t>Analytics, Big Data &amp; IOT</t>
  </si>
  <si>
    <t>Entertainment, Media &amp; Sports</t>
  </si>
  <si>
    <t>Ecommerce</t>
  </si>
  <si>
    <t>B2C</t>
  </si>
  <si>
    <t>Food &amp; Beverage</t>
  </si>
  <si>
    <t>Other</t>
  </si>
  <si>
    <t>Finance &amp; Banking</t>
  </si>
  <si>
    <t>PA</t>
  </si>
  <si>
    <t>Healthcare</t>
  </si>
  <si>
    <t>Consumer Apps</t>
  </si>
  <si>
    <t>WI</t>
  </si>
  <si>
    <t>MI</t>
  </si>
  <si>
    <t>funds2</t>
  </si>
  <si>
    <t>Real Estate</t>
  </si>
  <si>
    <t>OH</t>
  </si>
  <si>
    <t>Transportation &amp; Logistics</t>
  </si>
  <si>
    <t>MN</t>
  </si>
  <si>
    <t>KY</t>
  </si>
  <si>
    <t>NE</t>
  </si>
  <si>
    <t>MO</t>
  </si>
  <si>
    <t>Date of Close</t>
  </si>
  <si>
    <t>business_B2B</t>
  </si>
  <si>
    <t>business_B2B business_B2C</t>
  </si>
  <si>
    <t>business_B2C</t>
  </si>
  <si>
    <t>industry_analytics</t>
  </si>
  <si>
    <t>industry_apps</t>
  </si>
  <si>
    <t>industry_ecommerce</t>
  </si>
  <si>
    <t>industry_education</t>
  </si>
  <si>
    <t>industry_enterprise</t>
  </si>
  <si>
    <t>industry_entertainment</t>
  </si>
  <si>
    <t>industry_finance</t>
  </si>
  <si>
    <t>industry_food</t>
  </si>
  <si>
    <t>industry_healthcare</t>
  </si>
  <si>
    <t>industry_marketing</t>
  </si>
  <si>
    <t>industry_other</t>
  </si>
  <si>
    <t>industry_realestate</t>
  </si>
  <si>
    <t>industry_transportation</t>
  </si>
  <si>
    <t>Date</t>
  </si>
  <si>
    <t>BlockSixAnalytics</t>
  </si>
  <si>
    <t>AppPress</t>
  </si>
  <si>
    <t>https://www.app-press.com/</t>
  </si>
  <si>
    <t>http://www.ballotready.org/</t>
  </si>
  <si>
    <t>http://www.blocksixanalytics.com/</t>
  </si>
  <si>
    <t>http://www.boxfox.co/</t>
  </si>
  <si>
    <t>http://conceptdrop.com/</t>
  </si>
  <si>
    <t>http://www.dabble.co/</t>
  </si>
  <si>
    <t>https://www.dattus.com/</t>
  </si>
  <si>
    <t>http://eastmanegg.com/</t>
  </si>
  <si>
    <t>https://www.glidera.io/</t>
  </si>
  <si>
    <t>http://www.wearehearken.com/</t>
  </si>
  <si>
    <t>http://jetpackworkflow.com/</t>
  </si>
  <si>
    <t>http://www.lunalights.org/</t>
  </si>
  <si>
    <t>https://mimirhq.com/</t>
  </si>
  <si>
    <t>http://pairade.com/</t>
  </si>
  <si>
    <t>https://www.pactsafe.com/</t>
  </si>
  <si>
    <t>https://www.page-vault.com/</t>
  </si>
  <si>
    <t>https://regrouptherapy.com/</t>
  </si>
  <si>
    <t>http://www.scanalyticsinc.com/</t>
  </si>
  <si>
    <t>http://www.sentictechnologies.com/</t>
  </si>
  <si>
    <t>http://www.skyepack.com/</t>
  </si>
  <si>
    <t>http://www.zipfitdenim.com/</t>
  </si>
  <si>
    <t>https://sportsmantracker.com/</t>
  </si>
  <si>
    <t>http://explorersurgical.com/</t>
  </si>
  <si>
    <t>https://realync.com/</t>
  </si>
  <si>
    <t>http://www.knowledgehound.com/</t>
  </si>
  <si>
    <t>https://www.rewards21.com/</t>
  </si>
  <si>
    <t>http://www.printwithme.com/</t>
  </si>
  <si>
    <t>http://spatial.ai/</t>
  </si>
  <si>
    <t>https://www.chowlyinc.com/</t>
  </si>
  <si>
    <t>https://anglr.com/</t>
  </si>
  <si>
    <t>https://cladwell.com/</t>
  </si>
  <si>
    <t>http://www.branchmessenger.com/</t>
  </si>
  <si>
    <t>http://www.petronics.io/</t>
  </si>
  <si>
    <t>https://andcostello.com/</t>
  </si>
  <si>
    <t>https://www.astronomer.io/</t>
  </si>
  <si>
    <t>http://familytech.com/</t>
  </si>
  <si>
    <t>http://www.completeset.com/</t>
  </si>
  <si>
    <t>http://www.rentalutions.com/</t>
  </si>
  <si>
    <t>http://www.scriptdrop.co/</t>
  </si>
  <si>
    <t>https://www.kin.us/</t>
  </si>
  <si>
    <t>http://rapchat.me/</t>
  </si>
  <si>
    <t>https://cheddargetter.com/</t>
  </si>
  <si>
    <t>http://opendorse.com/</t>
  </si>
  <si>
    <t>http://www.markitmedical.com/</t>
  </si>
  <si>
    <t>https://www.datacubes.com/</t>
  </si>
  <si>
    <t>http://www.employstream.com/</t>
  </si>
  <si>
    <t>https://ryvit.com/</t>
  </si>
  <si>
    <t>https://www.geneticure.com/</t>
  </si>
  <si>
    <t>https://cfxtrading.com/</t>
  </si>
  <si>
    <t>http://www.idelictech.com/</t>
  </si>
  <si>
    <t>http://backstitch.io/</t>
  </si>
  <si>
    <t>https://www.amopportunities.org/</t>
  </si>
  <si>
    <t>https://www.parrable.com/</t>
  </si>
  <si>
    <t>http://www.virtualkey.co/</t>
  </si>
  <si>
    <t>https://hippomanager.com/</t>
  </si>
  <si>
    <t>https://changedynamix.io/</t>
  </si>
  <si>
    <t>https://www.bizzycoffee.com/</t>
  </si>
  <si>
    <t>https://www.safechain.io/</t>
  </si>
  <si>
    <t>EastmanEgg</t>
  </si>
  <si>
    <t>JetPackWorkflow</t>
  </si>
  <si>
    <t>LunaLights</t>
  </si>
  <si>
    <t>Pairade</t>
  </si>
  <si>
    <t>RegroupTherapy</t>
  </si>
  <si>
    <t>PageVault</t>
  </si>
  <si>
    <t>SportsmanTracker</t>
  </si>
  <si>
    <t>ExplORerSurgical</t>
  </si>
  <si>
    <t>BranchMessenger</t>
  </si>
  <si>
    <t>Petronics</t>
  </si>
  <si>
    <t>Costello</t>
  </si>
  <si>
    <t>FamilyTech</t>
  </si>
  <si>
    <t>Kin</t>
  </si>
  <si>
    <t>CheddarGetter</t>
  </si>
  <si>
    <t>MarkItMedical</t>
  </si>
  <si>
    <t>CFXMarkets</t>
  </si>
  <si>
    <t>IdelicTech</t>
  </si>
  <si>
    <t>HippoManager</t>
  </si>
  <si>
    <t>BizzyCoffee</t>
  </si>
  <si>
    <t>img/team/paul.jpg</t>
  </si>
  <si>
    <t>Paul Meier</t>
  </si>
  <si>
    <t>Paul earned his Bachelor of Business Administration degree from the University of Wisconsin-Madison, studying abroad at the Hong Kong University of Science and Technology. After graduating, he worked in an operational role for a travel industry start-up in Uruguay before returning to his native Milwaukee. There, he spent ten years in a variety of financial management roles with operators in the industrial automation and manufacturing industries before earning his MBA from The University of Chicago Booth School of Business. Most recently, Paul has supported business development activities for a hospitality ecommerce start-up. He and his wife Sara are intrepid travelers, and they live in Chicago’s Streeterville neighborhood with their beloved Boston Terrier, Lou. In his free time, Paul enjoys playing drums, snowboarding, history, film, and keeping up with Wisconsin sports teams.</t>
  </si>
  <si>
    <t>https://twitter.com/paullmeier</t>
  </si>
  <si>
    <t>https://medium.com/@paul.meier_24199</t>
  </si>
  <si>
    <t>img/team/jenny.jpg</t>
  </si>
  <si>
    <t>Jenny is an undergraduate student attending the University of Chicago for Economics and Visual Arts. On campus, she is a board member of Women in Business, participates in Prism Consulting’s pro-bono division, and plays cello in the University Symphony Orchestra. While in high school, she created and organized TEDxWestLafayetteHS, a TEDx conference, from scratch. In her downtime, Jenny can be found playing and arranging music or doodling absentmindedly.</t>
  </si>
  <si>
    <t>Jenny Shao</t>
  </si>
  <si>
    <t>Student Analyst</t>
  </si>
  <si>
    <t>advisorModal7</t>
  </si>
  <si>
    <t>advisorModal8</t>
  </si>
  <si>
    <t>advisorModal9</t>
  </si>
  <si>
    <t>advisorModal10</t>
  </si>
  <si>
    <t>advisorModal11</t>
  </si>
  <si>
    <t>advisorModal12</t>
  </si>
  <si>
    <t>advisorModal13</t>
  </si>
  <si>
    <t>advisorModal14</t>
  </si>
  <si>
    <t>Doug Drury</t>
  </si>
  <si>
    <t>Doug Drury has had a range of experience in financial markets since 1987. In 2002, Doug became the principal owner of XR Trading, a Chicago based proprietary trading firm. Prior to that he was a CPA, receiving his Masters of Science in Tax from DePaul University and his Bachelors of Science in Business Administration from University of Louisville. Doug lives in Wheaton, IL where he enjoys spending time with his wife and four grown children, the Bible, technology, finance, and basketball.</t>
  </si>
  <si>
    <t>img/advisors/stuart_gutwein.jpg</t>
  </si>
  <si>
    <t>img/advisors/doug_drury.jpg</t>
  </si>
  <si>
    <t>Stuart Gutwein</t>
  </si>
  <si>
    <t>Stuart is a lawyer, active in real estate services and an angel investor.  Stuart is a co-founder of Gutwein Law, a business law firm with offices in Lafayette and Indianapolis, Indiana.  In his law practice, Stuart focuses on serving as outside general counsel to emerging and growing businesses, including formation, capital raising and other financing transactions, operational issues and mergers and acquisitions.  Stuart counsels clients in a variety of industries.  Together with Brent Gutwein, Stuart co-founded Boulder Group, LLC, a real estate capital and asset management company and Granite Student Living, a property management company.  Stuart is a member of the Alternative &amp; Direct Investment Securities Association (ADISA).  Prior to founding Gutwein Law, Stuart was an associate in the business division of a large Indianapolis law firm. Stuart received a Bachelor of Science in Business Management from The Krannert School of Management of Purdue University and his law degree from The Indiana University School of Law – Indianapolis. Stuart is married to Alivia and they have four children, Ava, Hudson, Lukas and Mac. Stuart enjoys running, crossfit, baseball, and backpacking.</t>
  </si>
  <si>
    <t>Brent Gutwein</t>
  </si>
  <si>
    <t>Brent Gutwein currently lives in West Lafayette, Indiana and is the managing partner of real estate management company Granite Student Living. Prior to founding Granite, Brent owned AAG Venture, LLC, a row crop farming operation and grain elevator that sourced and serviced the commodity needs of Morning Song Wild Bird Food. In addition, he was the CEO of Fred Gutwein Family Citrus, LLC, a Florida based family citrus operation for 10 years. Brent managed the production and finances of the citrus operation for Fred Gutwein Family Citrus, LLC as well as the strategic liquidation of the underlying real estate. Brent is also co-founder and President of Boulder Group – a real estate capital management firm providing individuals and institutions with professional, dedicated and focused attention to real estate deals. Brent received his Bachelor of Science and Masters in Business Administration from the Krannert School of Management of Purdue University. He holds an Indiana real estate broker’s license. Brent is married with three children. He is an avid runner and recently achieved his goal of running the equivalent number of miles as jaunting around the equator, hence he has decided to turn around and head back home…</t>
  </si>
  <si>
    <t>img/advisors/steve_cittadine.jpg</t>
  </si>
  <si>
    <t>img/advisors/pat_east.jpg</t>
  </si>
  <si>
    <t>img/advisors/john_gorup.jpg</t>
  </si>
  <si>
    <t>img/advisors/cary_gutwein.jpg</t>
  </si>
  <si>
    <t>img/advisors/stan_gutwein.jpg</t>
  </si>
  <si>
    <t>Nathan Huber</t>
  </si>
  <si>
    <t>Nathan is a surgeon and a member of Unity Healthcare, a physician owned multi-specialty group. In his general surgery practice Nathan focuses on acute care and minimally invasive abdominal surgery. Nathan has participated in numerous areas of medical research including tissue engineering, medical device testing and clinical and basic science studies. Nathan received his Bachelor of Science in Chemical Engineering at Purdue University and his medical degree from The Indiana University School of Medicine. He completed general surgery residency at the University of Cincinnati including two years of dedicated research in the field of the immune response to traumatic injuries.</t>
  </si>
  <si>
    <t>img/advisors/nathan_huber.jpg</t>
  </si>
  <si>
    <t>Tom Gutwein</t>
  </si>
  <si>
    <t>Tom is a 1990 graduate of the Indiana University School of Medicine and 1993 class at IU/Methodist Hospital Residency in Emergency Medicine. An Emergency Physician since 1993, he has been practicing clinical medicine and adding administrative responsibility as President of Professional Emergency Physicians since 1998.  PEP is a group of 70 practicing physicians and 35 physician assistants covering 11 emergency departments in Northeast Indiana.   He is currently the Emergency Department Medical Director at Parkview Regional Medical Center in Fort Wayne Indiana, and is a past president of Indiana chapter of the American College of Emergency Physicians and Parkview Hospital Medical Staff.  He continues to serve as the service line clinical director for EMS/Emergency Medicine at Parkview Health which now sees over 200,000 emergency department patients annually.  Tom has lived in Fort Wayne Indiana for over 20 years, and loves to spend time with his wife Sally and 5 children aged 19-26 when he is able.  He also enjoys running, bicycle riding, triathalons, and serving as a volunteer and board member at another Matthew 25, a free health clinic for indigent people.  “To help others make the world a better place” is a key driving factor in why Tom participates in M25.</t>
  </si>
  <si>
    <t>img/advisors/tom_gutwein.jpg</t>
  </si>
  <si>
    <t>David Meiss</t>
  </si>
  <si>
    <t>Agriculture, Insurance</t>
  </si>
  <si>
    <t>David resides on his family’s 4th generation Centennial Farm in Central Illinois. His first day at work was the day he began to walk as he tagged beside his father learning the life lessons that growing up on a farm provide. He was educated through his father’s example of hard work, experience, and perseverance. At the age of 18 he purchased the swine production enterprise from his father and just 2 years later invested in his first real estate purchase of farmland. David has served on the local school board helping to steer it through a consolidation process, serves on the local township board, and has been on church advisory councils. He is a Director of the joint Illinois Farm Bureau and Country Financial Board, which includes Country Trust Bank, and currently serves as the Audit Chairman. David and his wife Debbie have enjoyed 35 years together raising a family and farming. They are blessed with three children, two daughters in law, and three grandchildren. After years of basketball and hog farming David’s knees retired, so today his focus is on swimming, calisthenics, and bicycling. On a pleasant evening you will find him enjoying a relaxing cruise on the Harley around farm country.</t>
  </si>
  <si>
    <t>img/advisors/david_meiss.jpg</t>
  </si>
  <si>
    <t>Daryl Starr</t>
  </si>
  <si>
    <t>Agriculture, SaaS, Startup Acceleration and Early Exits</t>
  </si>
  <si>
    <t>Daryl is a serial entrepreneur and investor.  Daryl is the founder of LEV Capital Management, a friends and family hybrid fund based in Lafayette, Indiana. LEV invests in both high potential startups as well as traditional businesses with an enabling technology thesis across the country.  Daryl has operational experience as a serial founder, acquisition experience with minor roll ups, and national recognition in precision agriculture, including a successful exit in 2014.  Daryl also consults with Purdue Foundry and is involved with Purdue Ventures’ Ag-Celerator fund. Daryl also serves as treasurer for Bethesda Outreach Ministries International, a non-profit aimed at serving AIDS effected South African orphans.  Daryl was also cofounder of Crosswalk Commons, a non-profit organization focused on cross cultural, international student housing. Daryl double majored in Business Management from The Krannert School of Management and English Literature from Purdue University.  Daryl is married to Allison and they have three daughters, Anna, Alexa, and Gabrielle. Daryl enjoys audio books, boating and working.</t>
  </si>
  <si>
    <t>Ron Whistler</t>
  </si>
  <si>
    <t>Real Estate, Construction</t>
  </si>
  <si>
    <t>Ron Whistler is the owner and President of Land Quest Real Estate. His firm specializes in Land Development as well as  Commercial and Multi Family construction in and around the greater Lafayette Indiana area since 1988. Ron also owns a niche financial company called ROCIN Financial, where he loans capital to small business and beginning construction firms that could not otherwise find capital. He has been married for 38 years to Cindy and has 2 children and 6 grandchildren. His hobbies are boating on the Gulf of Mexico,  golf (which he is not very good at) and hanging out with all of his grand kids.</t>
  </si>
  <si>
    <t>Mike Witteveen</t>
  </si>
  <si>
    <t>Engineering, Construction, Process and Operations</t>
  </si>
  <si>
    <t>Michael J. Witteveen, an accredited LEED professional, has been a leader in the construction industry since 1981. As President of Tecton Construction Management, Inc. he oversees all operations of the company. Witteveen has created new management systems, and developed new technologies in the construction business, including his trademarked Tecton “Filtering™” system. Previously, during the 90s, he was hired as General Manager of an INC 500 Company to improve cash flow in preparation for its IPO. He reorganized the company, improving operations in every area. Prior to that, as General Manager of a large trade contractor, he supervised over 600 constructions jobs a year and 360 weekly maintenance contracts. In the 1980s Witteveen worked at Turner Construction Co., and was the youngest Division Manager in the entire country. Witteveen has put this expertise to use as an angel investor by developing the first privately-owned, business incubator, graduate facility in Purdue University’s High Technology Research Park. He is also an original angel investor in Griffin Analytical Technologies, a specialty instrument company. A graduate of Valparaiso University, Bachelors of Science in Civil Engineering. He is a past president of YMCA Board of Directors, Downtown Business Center, and a founding member of the task force that helped bring fiber optics to Tippecanoe County. He is an amateur woodworker, holds a black belt in Taekwondo and is a nationally ranked Masters swimmer. Witteveen lives in Lafayette, IN, with his wife Alice. They have four grown children.</t>
  </si>
  <si>
    <t>img/advisors/daryl_starr.jpg</t>
  </si>
  <si>
    <t>img/advisors/ron_whistler.jpg</t>
  </si>
  <si>
    <t>img/advisors/mike_witteveen.jpg</t>
  </si>
  <si>
    <t>img/advisors/brent_gutwein.jpg</t>
  </si>
  <si>
    <t>&lt;b&gt;Board Member&lt;/b&gt;</t>
  </si>
  <si>
    <t>SuperDispatch</t>
  </si>
  <si>
    <t>The Minte</t>
  </si>
  <si>
    <t>Upsie</t>
  </si>
  <si>
    <t>EnsoData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</si>
</sst>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10"/>
      <color theme="1"/>
      <name val="Arial"/>
      <family val="2"/>
    </font>
    <font>
      <b/>
      <sz val="10"/>
      <color theme="1"/>
      <name val="Arial"/>
      <family val="2"/>
    </font>
    <font>
      <b/>
      <sz val="11"/>
      <color rgb="FF000000"/>
      <name val="Oxygen"/>
    </font>
    <font>
      <b/>
      <sz val="11"/>
      <color theme="1"/>
      <name val="Oxygen"/>
    </font>
    <font>
      <sz val="11"/>
      <color rgb="FF000000"/>
      <name val="Inconsolata"/>
    </font>
    <font>
      <sz val="11"/>
      <color theme="1"/>
      <name val="Oxygen"/>
    </font>
  </fonts>
  <fills count="2">
    <fill>
      <patternFill patternType="none"/>
    </fill>
    <fill>
      <patternFill patternType="gray125"/>
    </fill>
  </fills>
  <borders count="1">
    <border>
      <left/>
      <right/>
      <top/>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12">
    <xf numFmtId="0" fontId="0" fillId="0" borderId="0" xfId="0"/>
    <xf numFmtId="0" fontId="3" fillId="0" borderId="0" xfId="0" applyFont="1"/>
    <xf numFmtId="0" fontId="1" fillId="0" borderId="0" xfId="5"/>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17" fontId="0" fillId="0" borderId="0" xfId="0" applyNumberFormat="1"/>
    <xf numFmtId="17" fontId="9" fillId="0" borderId="0" xfId="0" applyNumberFormat="1" applyFont="1"/>
    <xf numFmtId="14" fontId="9" fillId="0" borderId="0" xfId="0" applyNumberFormat="1" applyFont="1"/>
    <xf numFmtId="14" fontId="4" fillId="0" borderId="0" xfId="0" applyNumberFormat="1" applyFont="1"/>
  </cellXfs>
  <cellStyles count="6">
    <cellStyle name="Followed Hyperlink" xfId="2" builtinId="9" hidden="1"/>
    <cellStyle name="Followed Hyperlink" xfId="4" builtinId="9" hidden="1"/>
    <cellStyle name="Hyperlink" xfId="1" builtinId="8" hidden="1"/>
    <cellStyle name="Hyperlink" xfId="3" builtinId="8" hidden="1"/>
    <cellStyle name="Hyperlink" xfId="5"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hyperlink" Target="https://upsie.com/" TargetMode="External"/><Relationship Id="rId2" Type="http://schemas.openxmlformats.org/officeDocument/2006/relationships/hyperlink" Target="https://www.theminte.com/" TargetMode="External"/><Relationship Id="rId1" Type="http://schemas.openxmlformats.org/officeDocument/2006/relationships/hyperlink" Target="https://www.mysuperdispatch.com/" TargetMode="External"/><Relationship Id="rId4" Type="http://schemas.openxmlformats.org/officeDocument/2006/relationships/hyperlink" Target="https://www.ensodata.io/"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www.rewards21.com/" TargetMode="External"/><Relationship Id="rId21" Type="http://schemas.openxmlformats.org/officeDocument/2006/relationships/hyperlink" Target="http://www.zipfitdenim.com/" TargetMode="External"/><Relationship Id="rId34" Type="http://schemas.openxmlformats.org/officeDocument/2006/relationships/hyperlink" Target="https://andcostello.com/" TargetMode="External"/><Relationship Id="rId42" Type="http://schemas.openxmlformats.org/officeDocument/2006/relationships/hyperlink" Target="https://cheddargetter.com/" TargetMode="External"/><Relationship Id="rId47" Type="http://schemas.openxmlformats.org/officeDocument/2006/relationships/hyperlink" Target="https://ryvit.com/" TargetMode="External"/><Relationship Id="rId50" Type="http://schemas.openxmlformats.org/officeDocument/2006/relationships/hyperlink" Target="http://www.idelictech.com/" TargetMode="External"/><Relationship Id="rId55" Type="http://schemas.openxmlformats.org/officeDocument/2006/relationships/hyperlink" Target="https://hippomanager.com/" TargetMode="External"/><Relationship Id="rId63" Type="http://schemas.openxmlformats.org/officeDocument/2006/relationships/hyperlink" Target="https://www.mysuperdispatch.com/" TargetMode="External"/><Relationship Id="rId7" Type="http://schemas.openxmlformats.org/officeDocument/2006/relationships/hyperlink" Target="https://www.dattus.com/" TargetMode="External"/><Relationship Id="rId2" Type="http://schemas.openxmlformats.org/officeDocument/2006/relationships/hyperlink" Target="http://www.ballotready.org/" TargetMode="External"/><Relationship Id="rId16" Type="http://schemas.openxmlformats.org/officeDocument/2006/relationships/hyperlink" Target="https://www.page-vault.com/" TargetMode="External"/><Relationship Id="rId29" Type="http://schemas.openxmlformats.org/officeDocument/2006/relationships/hyperlink" Target="https://www.chowlyinc.com/" TargetMode="External"/><Relationship Id="rId11" Type="http://schemas.openxmlformats.org/officeDocument/2006/relationships/hyperlink" Target="http://jetpackworkflow.com/" TargetMode="External"/><Relationship Id="rId24" Type="http://schemas.openxmlformats.org/officeDocument/2006/relationships/hyperlink" Target="https://realync.com/" TargetMode="External"/><Relationship Id="rId32" Type="http://schemas.openxmlformats.org/officeDocument/2006/relationships/hyperlink" Target="http://www.branchmessenger.com/" TargetMode="External"/><Relationship Id="rId37" Type="http://schemas.openxmlformats.org/officeDocument/2006/relationships/hyperlink" Target="http://www.completeset.com/" TargetMode="External"/><Relationship Id="rId40" Type="http://schemas.openxmlformats.org/officeDocument/2006/relationships/hyperlink" Target="https://www.kin.us/" TargetMode="External"/><Relationship Id="rId45" Type="http://schemas.openxmlformats.org/officeDocument/2006/relationships/hyperlink" Target="https://www.datacubes.com/" TargetMode="External"/><Relationship Id="rId53" Type="http://schemas.openxmlformats.org/officeDocument/2006/relationships/hyperlink" Target="https://www.parrable.com/" TargetMode="External"/><Relationship Id="rId58" Type="http://schemas.openxmlformats.org/officeDocument/2006/relationships/hyperlink" Target="https://www.safechain.io/" TargetMode="External"/><Relationship Id="rId66" Type="http://schemas.openxmlformats.org/officeDocument/2006/relationships/hyperlink" Target="https://www.ensodata.io/" TargetMode="External"/><Relationship Id="rId5" Type="http://schemas.openxmlformats.org/officeDocument/2006/relationships/hyperlink" Target="http://conceptdrop.com/" TargetMode="External"/><Relationship Id="rId61" Type="http://schemas.openxmlformats.org/officeDocument/2006/relationships/hyperlink" Target="https://upsie.com/" TargetMode="External"/><Relationship Id="rId19" Type="http://schemas.openxmlformats.org/officeDocument/2006/relationships/hyperlink" Target="http://www.sentictechnologies.com/" TargetMode="External"/><Relationship Id="rId14" Type="http://schemas.openxmlformats.org/officeDocument/2006/relationships/hyperlink" Target="http://pairade.com/" TargetMode="External"/><Relationship Id="rId22" Type="http://schemas.openxmlformats.org/officeDocument/2006/relationships/hyperlink" Target="https://sportsmantracker.com/" TargetMode="External"/><Relationship Id="rId27" Type="http://schemas.openxmlformats.org/officeDocument/2006/relationships/hyperlink" Target="http://www.printwithme.com/" TargetMode="External"/><Relationship Id="rId30" Type="http://schemas.openxmlformats.org/officeDocument/2006/relationships/hyperlink" Target="https://anglr.com/" TargetMode="External"/><Relationship Id="rId35" Type="http://schemas.openxmlformats.org/officeDocument/2006/relationships/hyperlink" Target="https://www.astronomer.io/" TargetMode="External"/><Relationship Id="rId43" Type="http://schemas.openxmlformats.org/officeDocument/2006/relationships/hyperlink" Target="http://opendorse.com/" TargetMode="External"/><Relationship Id="rId48" Type="http://schemas.openxmlformats.org/officeDocument/2006/relationships/hyperlink" Target="https://www.geneticure.com/" TargetMode="External"/><Relationship Id="rId56" Type="http://schemas.openxmlformats.org/officeDocument/2006/relationships/hyperlink" Target="https://changedynamix.io/" TargetMode="External"/><Relationship Id="rId64" Type="http://schemas.openxmlformats.org/officeDocument/2006/relationships/hyperlink" Target="https://www.theminte.com/" TargetMode="External"/><Relationship Id="rId8" Type="http://schemas.openxmlformats.org/officeDocument/2006/relationships/hyperlink" Target="http://eastmanegg.com/" TargetMode="External"/><Relationship Id="rId51" Type="http://schemas.openxmlformats.org/officeDocument/2006/relationships/hyperlink" Target="http://backstitch.io/" TargetMode="External"/><Relationship Id="rId3" Type="http://schemas.openxmlformats.org/officeDocument/2006/relationships/hyperlink" Target="http://www.blocksixanalytics.com/" TargetMode="External"/><Relationship Id="rId12" Type="http://schemas.openxmlformats.org/officeDocument/2006/relationships/hyperlink" Target="http://www.lunalights.org/" TargetMode="External"/><Relationship Id="rId17" Type="http://schemas.openxmlformats.org/officeDocument/2006/relationships/hyperlink" Target="https://regrouptherapy.com/" TargetMode="External"/><Relationship Id="rId25" Type="http://schemas.openxmlformats.org/officeDocument/2006/relationships/hyperlink" Target="http://www.knowledgehound.com/" TargetMode="External"/><Relationship Id="rId33" Type="http://schemas.openxmlformats.org/officeDocument/2006/relationships/hyperlink" Target="http://www.petronics.io/" TargetMode="External"/><Relationship Id="rId38" Type="http://schemas.openxmlformats.org/officeDocument/2006/relationships/hyperlink" Target="http://www.rentalutions.com/" TargetMode="External"/><Relationship Id="rId46" Type="http://schemas.openxmlformats.org/officeDocument/2006/relationships/hyperlink" Target="http://www.employstream.com/" TargetMode="External"/><Relationship Id="rId59" Type="http://schemas.openxmlformats.org/officeDocument/2006/relationships/hyperlink" Target="https://www.mysuperdispatch.com/" TargetMode="External"/><Relationship Id="rId20" Type="http://schemas.openxmlformats.org/officeDocument/2006/relationships/hyperlink" Target="http://www.skyepack.com/" TargetMode="External"/><Relationship Id="rId41" Type="http://schemas.openxmlformats.org/officeDocument/2006/relationships/hyperlink" Target="http://rapchat.me/" TargetMode="External"/><Relationship Id="rId54" Type="http://schemas.openxmlformats.org/officeDocument/2006/relationships/hyperlink" Target="http://www.virtualkey.co/" TargetMode="External"/><Relationship Id="rId62" Type="http://schemas.openxmlformats.org/officeDocument/2006/relationships/hyperlink" Target="https://www.ensodata.io/" TargetMode="External"/><Relationship Id="rId1" Type="http://schemas.openxmlformats.org/officeDocument/2006/relationships/hyperlink" Target="https://www.app-press.com/" TargetMode="External"/><Relationship Id="rId6" Type="http://schemas.openxmlformats.org/officeDocument/2006/relationships/hyperlink" Target="http://www.dabble.co/" TargetMode="External"/><Relationship Id="rId15" Type="http://schemas.openxmlformats.org/officeDocument/2006/relationships/hyperlink" Target="https://www.pactsafe.com/" TargetMode="External"/><Relationship Id="rId23" Type="http://schemas.openxmlformats.org/officeDocument/2006/relationships/hyperlink" Target="http://explorersurgical.com/" TargetMode="External"/><Relationship Id="rId28" Type="http://schemas.openxmlformats.org/officeDocument/2006/relationships/hyperlink" Target="http://spatial.ai/" TargetMode="External"/><Relationship Id="rId36" Type="http://schemas.openxmlformats.org/officeDocument/2006/relationships/hyperlink" Target="http://familytech.com/" TargetMode="External"/><Relationship Id="rId49" Type="http://schemas.openxmlformats.org/officeDocument/2006/relationships/hyperlink" Target="https://cfxtrading.com/" TargetMode="External"/><Relationship Id="rId57" Type="http://schemas.openxmlformats.org/officeDocument/2006/relationships/hyperlink" Target="https://www.bizzycoffee.com/" TargetMode="External"/><Relationship Id="rId10" Type="http://schemas.openxmlformats.org/officeDocument/2006/relationships/hyperlink" Target="http://www.wearehearken.com/" TargetMode="External"/><Relationship Id="rId31" Type="http://schemas.openxmlformats.org/officeDocument/2006/relationships/hyperlink" Target="https://cladwell.com/" TargetMode="External"/><Relationship Id="rId44" Type="http://schemas.openxmlformats.org/officeDocument/2006/relationships/hyperlink" Target="http://www.markitmedical.com/" TargetMode="External"/><Relationship Id="rId52" Type="http://schemas.openxmlformats.org/officeDocument/2006/relationships/hyperlink" Target="https://www.amopportunities.org/" TargetMode="External"/><Relationship Id="rId60" Type="http://schemas.openxmlformats.org/officeDocument/2006/relationships/hyperlink" Target="https://www.theminte.com/" TargetMode="External"/><Relationship Id="rId65" Type="http://schemas.openxmlformats.org/officeDocument/2006/relationships/hyperlink" Target="https://upsie.com/" TargetMode="External"/><Relationship Id="rId4" Type="http://schemas.openxmlformats.org/officeDocument/2006/relationships/hyperlink" Target="http://www.boxfox.co/" TargetMode="External"/><Relationship Id="rId9" Type="http://schemas.openxmlformats.org/officeDocument/2006/relationships/hyperlink" Target="https://www.glidera.io/" TargetMode="External"/><Relationship Id="rId13" Type="http://schemas.openxmlformats.org/officeDocument/2006/relationships/hyperlink" Target="https://mimirhq.com/" TargetMode="External"/><Relationship Id="rId18" Type="http://schemas.openxmlformats.org/officeDocument/2006/relationships/hyperlink" Target="http://www.scanalyticsinc.com/" TargetMode="External"/><Relationship Id="rId39" Type="http://schemas.openxmlformats.org/officeDocument/2006/relationships/hyperlink" Target="http://www.scriptdrop.c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5"/>
  <sheetViews>
    <sheetView workbookViewId="0">
      <selection activeCell="K2" sqref="K2:K15"/>
    </sheetView>
  </sheetViews>
  <sheetFormatPr baseColWidth="10" defaultRowHeight="16"/>
  <cols>
    <col min="1" max="1" width="13.6640625" bestFit="1" customWidth="1"/>
    <col min="2" max="2" width="38" bestFit="1" customWidth="1"/>
    <col min="4" max="4" width="28.6640625" bestFit="1" customWidth="1"/>
    <col min="5" max="7" width="13.1640625" bestFit="1" customWidth="1"/>
  </cols>
  <sheetData>
    <row r="1" spans="1:11">
      <c r="A1" t="s">
        <v>0</v>
      </c>
      <c r="B1" t="s">
        <v>1</v>
      </c>
      <c r="C1" t="s">
        <v>2</v>
      </c>
      <c r="D1" t="s">
        <v>16</v>
      </c>
      <c r="E1" t="s">
        <v>5</v>
      </c>
      <c r="F1" t="s">
        <v>14</v>
      </c>
      <c r="G1" t="s">
        <v>6</v>
      </c>
    </row>
    <row r="2" spans="1:11">
      <c r="A2" t="s">
        <v>266</v>
      </c>
      <c r="B2" t="s">
        <v>302</v>
      </c>
      <c r="C2" t="s">
        <v>267</v>
      </c>
      <c r="D2" t="s">
        <v>269</v>
      </c>
      <c r="E2" t="str">
        <f t="array" ref="E2">INDEX(G:G,LARGE(IF(G:G&lt;&gt;"",ROW(G:G)),2))</f>
        <v>advisorModal14</v>
      </c>
      <c r="F2" t="s">
        <v>54</v>
      </c>
      <c r="G2" t="s">
        <v>55</v>
      </c>
      <c r="K2" t="str">
        <f>"{"&amp;$A$1&amp;":"&amp;" """&amp;A2&amp;""""&amp;", "&amp;$B$1&amp;":"&amp;" """&amp;B2&amp;""""&amp;" ,"&amp;$C$1&amp;":"&amp;" """&amp;C2&amp;""""&amp;" ,"&amp;$E$1&amp;":"&amp;" """&amp;E2&amp;""""&amp;" ,"&amp;$F$1&amp;":"&amp;" """&amp;F2&amp;""""&amp;" ,"&amp;$G$1&amp;":"&amp;" """&amp;G2&amp;""""&amp;" ,"&amp;$D$1&amp;":"&amp;" """&amp;D2&amp;""""&amp;"},"</f>
        <v>{name: "Doug Drury", title: "&lt;b&gt;Board Member&lt;/b&gt;" ,desc: "Doug Drury has had a range of experience in financial markets since 1987. In 2002, Doug became the principal owner of XR Trading, a Chicago based proprietary trading firm. Prior to that he was a CPA, receiving his Masters of Science in Tax from DePaul University and his Bachelors of Science in Business Administration from University of Louisville. Doug lives in Wheaton, IL where he enjoys spending time with his wife and four grown children, the Bible, technology, finance, and basketball." ,prev: "advisorModal14" ,current: "advisorModal1" ,next: "advisorModal2" ,img: "img/advisors/doug_drury.jpg"},</v>
      </c>
    </row>
    <row r="3" spans="1:11">
      <c r="A3" t="s">
        <v>270</v>
      </c>
      <c r="B3" t="s">
        <v>302</v>
      </c>
      <c r="C3" t="s">
        <v>271</v>
      </c>
      <c r="D3" t="s">
        <v>268</v>
      </c>
      <c r="E3" t="str">
        <f>F2</f>
        <v>advisorModal1</v>
      </c>
      <c r="F3" t="str">
        <f>G2</f>
        <v>advisorModal2</v>
      </c>
      <c r="G3" t="s">
        <v>56</v>
      </c>
      <c r="K3" t="str">
        <f t="shared" ref="K3:K15" si="0">"{"&amp;$A$1&amp;":"&amp;" """&amp;A3&amp;""""&amp;", "&amp;$B$1&amp;":"&amp;" """&amp;B3&amp;""""&amp;" ,"&amp;$C$1&amp;":"&amp;" """&amp;C3&amp;""""&amp;" ,"&amp;$E$1&amp;":"&amp;" """&amp;E3&amp;""""&amp;" ,"&amp;$F$1&amp;":"&amp;" """&amp;F3&amp;""""&amp;" ,"&amp;$G$1&amp;":"&amp;" """&amp;G3&amp;""""&amp;" ,"&amp;$D$1&amp;":"&amp;" """&amp;D3&amp;""""&amp;"},"</f>
        <v>{name: "Stuart Gutwein", title: "&lt;b&gt;Board Member&lt;/b&gt;" ,desc: "Stuart is a lawyer, active in real estate services and an angel investor.  Stuart is a co-founder of Gutwein Law, a business law firm with offices in Lafayette and Indianapolis, Indiana.  In his law practice, Stuart focuses on serving as outside general counsel to emerging and growing businesses, including formation, capital raising and other financing transactions, operational issues and mergers and acquisitions.  Stuart counsels clients in a variety of industries.  Together with Brent Gutwein, Stuart co-founded Boulder Group, LLC, a real estate capital and asset management company and Granite Student Living, a property management company.  Stuart is a member of the Alternative &amp; Direct Investment Securities Association (ADISA).  Prior to founding Gutwein Law, Stuart was an associate in the business division of a large Indianapolis law firm. Stuart received a Bachelor of Science in Business Management from The Krannert School of Management of Purdue University and his law degree from The Indiana University School of Law – Indianapolis. Stuart is married to Alivia and they have four children, Ava, Hudson, Lukas and Mac. Stuart enjoys running, crossfit, baseball, and backpacking." ,prev: "advisorModal1" ,current: "advisorModal2" ,next: "advisorModal3" ,img: "img/advisors/stuart_gutwein.jpg"},</v>
      </c>
    </row>
    <row r="4" spans="1:11">
      <c r="A4" t="s">
        <v>272</v>
      </c>
      <c r="B4" t="s">
        <v>302</v>
      </c>
      <c r="C4" t="s">
        <v>273</v>
      </c>
      <c r="D4" t="s">
        <v>301</v>
      </c>
      <c r="E4" t="str">
        <f t="shared" ref="E4:F14" si="1">F3</f>
        <v>advisorModal2</v>
      </c>
      <c r="F4" t="str">
        <f t="shared" si="1"/>
        <v>advisorModal3</v>
      </c>
      <c r="G4" t="s">
        <v>57</v>
      </c>
      <c r="K4" t="str">
        <f t="shared" si="0"/>
        <v>{name: "Brent Gutwein", title: "&lt;b&gt;Board Member&lt;/b&gt;" ,desc: "Brent Gutwein currently lives in West Lafayette, Indiana and is the managing partner of real estate management company Granite Student Living. Prior to founding Granite, Brent owned AAG Venture, LLC, a row crop farming operation and grain elevator that sourced and serviced the commodity needs of Morning Song Wild Bird Food. In addition, he was the CEO of Fred Gutwein Family Citrus, LLC, a Florida based family citrus operation for 10 years. Brent managed the production and finances of the citrus operation for Fred Gutwein Family Citrus, LLC as well as the strategic liquidation of the underlying real estate. Brent is also co-founder and President of Boulder Group – a real estate capital management firm providing individuals and institutions with professional, dedicated and focused attention to real estate deals. Brent received his Bachelor of Science and Masters in Business Administration from the Krannert School of Management of Purdue University. He holds an Indiana real estate broker’s license. Brent is married with three children. He is an avid runner and recently achieved his goal of running the equivalent number of miles as jaunting around the equator, hence he has decided to turn around and head back home…" ,prev: "advisorModal2" ,current: "advisorModal3" ,next: "advisorModal4" ,img: "img/advisors/brent_gutwein.jpg"},</v>
      </c>
    </row>
    <row r="5" spans="1:11">
      <c r="A5" t="s">
        <v>279</v>
      </c>
      <c r="B5" t="s">
        <v>46</v>
      </c>
      <c r="C5" t="s">
        <v>280</v>
      </c>
      <c r="D5" t="s">
        <v>281</v>
      </c>
      <c r="E5" t="str">
        <f t="shared" si="1"/>
        <v>advisorModal3</v>
      </c>
      <c r="F5" t="str">
        <f t="shared" si="1"/>
        <v>advisorModal4</v>
      </c>
      <c r="G5" t="s">
        <v>58</v>
      </c>
      <c r="K5" t="str">
        <f t="shared" si="0"/>
        <v>{name: "Nathan Huber", title: "Healthcare, Medicine" ,desc: "Nathan is a surgeon and a member of Unity Healthcare, a physician owned multi-specialty group. In his general surgery practice Nathan focuses on acute care and minimally invasive abdominal surgery. Nathan has participated in numerous areas of medical research including tissue engineering, medical device testing and clinical and basic science studies. Nathan received his Bachelor of Science in Chemical Engineering at Purdue University and his medical degree from The Indiana University School of Medicine. He completed general surgery residency at the University of Cincinnati including two years of dedicated research in the field of the immune response to traumatic injuries." ,prev: "advisorModal3" ,current: "advisorModal4" ,next: "advisorModal5" ,img: "img/advisors/nathan_huber.jpg"},</v>
      </c>
    </row>
    <row r="6" spans="1:11">
      <c r="A6" t="s">
        <v>285</v>
      </c>
      <c r="B6" t="s">
        <v>286</v>
      </c>
      <c r="C6" t="s">
        <v>287</v>
      </c>
      <c r="D6" t="s">
        <v>288</v>
      </c>
      <c r="E6" t="str">
        <f t="shared" si="1"/>
        <v>advisorModal4</v>
      </c>
      <c r="F6" t="str">
        <f t="shared" si="1"/>
        <v>advisorModal5</v>
      </c>
      <c r="G6" t="s">
        <v>59</v>
      </c>
      <c r="K6" t="str">
        <f t="shared" si="0"/>
        <v>{name: "David Meiss", title: "Agriculture, Insurance" ,desc: "David resides on his family’s 4th generation Centennial Farm in Central Illinois. His first day at work was the day he began to walk as he tagged beside his father learning the life lessons that growing up on a farm provide. He was educated through his father’s example of hard work, experience, and perseverance. At the age of 18 he purchased the swine production enterprise from his father and just 2 years later invested in his first real estate purchase of farmland. David has served on the local school board helping to steer it through a consolidation process, serves on the local township board, and has been on church advisory councils. He is a Director of the joint Illinois Farm Bureau and Country Financial Board, which includes Country Trust Bank, and currently serves as the Audit Chairman. David and his wife Debbie have enjoyed 35 years together raising a family and farming. They are blessed with three children, two daughters in law, and three grandchildren. After years of basketball and hog farming David’s knees retired, so today his focus is on swimming, calisthenics, and bicycling. On a pleasant evening you will find him enjoying a relaxing cruise on the Harley around farm country." ,prev: "advisorModal4" ,current: "advisorModal5" ,next: "advisorModal6" ,img: "img/advisors/david_meiss.jpg"},</v>
      </c>
    </row>
    <row r="7" spans="1:11">
      <c r="A7" t="s">
        <v>289</v>
      </c>
      <c r="B7" t="s">
        <v>290</v>
      </c>
      <c r="C7" t="s">
        <v>291</v>
      </c>
      <c r="D7" t="s">
        <v>298</v>
      </c>
      <c r="E7" t="str">
        <f t="shared" si="1"/>
        <v>advisorModal5</v>
      </c>
      <c r="F7" t="str">
        <f t="shared" si="1"/>
        <v>advisorModal6</v>
      </c>
      <c r="G7" t="s">
        <v>258</v>
      </c>
      <c r="K7" t="str">
        <f t="shared" si="0"/>
        <v>{name: "Daryl Starr", title: "Agriculture, SaaS, Startup Acceleration and Early Exits" ,desc: "Daryl is a serial entrepreneur and investor.  Daryl is the founder of LEV Capital Management, a friends and family hybrid fund based in Lafayette, Indiana. LEV invests in both high potential startups as well as traditional businesses with an enabling technology thesis across the country.  Daryl has operational experience as a serial founder, acquisition experience with minor roll ups, and national recognition in precision agriculture, including a successful exit in 2014.  Daryl also consults with Purdue Foundry and is involved with Purdue Ventures’ Ag-Celerator fund. Daryl also serves as treasurer for Bethesda Outreach Ministries International, a non-profit aimed at serving AIDS effected South African orphans.  Daryl was also cofounder of Crosswalk Commons, a non-profit organization focused on cross cultural, international student housing. Daryl double majored in Business Management from The Krannert School of Management and English Literature from Purdue University.  Daryl is married to Allison and they have three daughters, Anna, Alexa, and Gabrielle. Daryl enjoys audio books, boating and working." ,prev: "advisorModal5" ,current: "advisorModal6" ,next: "advisorModal7" ,img: "img/advisors/daryl_starr.jpg"},</v>
      </c>
    </row>
    <row r="8" spans="1:11">
      <c r="A8" t="s">
        <v>292</v>
      </c>
      <c r="B8" t="s">
        <v>293</v>
      </c>
      <c r="C8" t="s">
        <v>294</v>
      </c>
      <c r="D8" t="s">
        <v>299</v>
      </c>
      <c r="E8" t="str">
        <f t="shared" si="1"/>
        <v>advisorModal6</v>
      </c>
      <c r="F8" t="str">
        <f t="shared" si="1"/>
        <v>advisorModal7</v>
      </c>
      <c r="G8" t="s">
        <v>259</v>
      </c>
      <c r="K8" t="str">
        <f t="shared" si="0"/>
        <v>{name: "Ron Whistler", title: "Real Estate, Construction" ,desc: "Ron Whistler is the owner and President of Land Quest Real Estate. His firm specializes in Land Development as well as  Commercial and Multi Family construction in and around the greater Lafayette Indiana area since 1988. Ron also owns a niche financial company called ROCIN Financial, where he loans capital to small business and beginning construction firms that could not otherwise find capital. He has been married for 38 years to Cindy and has 2 children and 6 grandchildren. His hobbies are boating on the Gulf of Mexico,  golf (which he is not very good at) and hanging out with all of his grand kids." ,prev: "advisorModal6" ,current: "advisorModal7" ,next: "advisorModal8" ,img: "img/advisors/ron_whistler.jpg"},</v>
      </c>
    </row>
    <row r="9" spans="1:11">
      <c r="A9" t="s">
        <v>295</v>
      </c>
      <c r="B9" t="s">
        <v>296</v>
      </c>
      <c r="C9" t="s">
        <v>297</v>
      </c>
      <c r="D9" t="s">
        <v>300</v>
      </c>
      <c r="E9" t="str">
        <f t="shared" si="1"/>
        <v>advisorModal7</v>
      </c>
      <c r="F9" t="str">
        <f t="shared" si="1"/>
        <v>advisorModal8</v>
      </c>
      <c r="G9" t="s">
        <v>260</v>
      </c>
      <c r="K9" t="str">
        <f t="shared" si="0"/>
        <v>{name: "Mike Witteveen", title: "Engineering, Construction, Process and Operations" ,desc: "Michael J. Witteveen, an accredited LEED professional, has been a leader in the construction industry since 1981. As President of Tecton Construction Management, Inc. he oversees all operations of the company. Witteveen has created new management systems, and developed new technologies in the construction business, including his trademarked Tecton “Filtering™” system. Previously, during the 90s, he was hired as General Manager of an INC 500 Company to improve cash flow in preparation for its IPO. He reorganized the company, improving operations in every area. Prior to that, as General Manager of a large trade contractor, he supervised over 600 constructions jobs a year and 360 weekly maintenance contracts. In the 1980s Witteveen worked at Turner Construction Co., and was the youngest Division Manager in the entire country. Witteveen has put this expertise to use as an angel investor by developing the first privately-owned, business incubator, graduate facility in Purdue University’s High Technology Research Park. He is also an original angel investor in Griffin Analytical Technologies, a specialty instrument company. A graduate of Valparaiso University, Bachelors of Science in Civil Engineering. He is a past president of YMCA Board of Directors, Downtown Business Center, and a founding member of the task force that helped bring fiber optics to Tippecanoe County. He is an amateur woodworker, holds a black belt in Taekwondo and is a nationally ranked Masters swimmer. Witteveen lives in Lafayette, IN, with his wife Alice. They have four grown children." ,prev: "advisorModal7" ,current: "advisorModal8" ,next: "advisorModal9" ,img: "img/advisors/mike_witteveen.jpg"},</v>
      </c>
    </row>
    <row r="10" spans="1:11">
      <c r="A10" t="s">
        <v>282</v>
      </c>
      <c r="B10" t="s">
        <v>46</v>
      </c>
      <c r="C10" t="s">
        <v>283</v>
      </c>
      <c r="D10" t="s">
        <v>284</v>
      </c>
      <c r="E10" t="str">
        <f t="shared" si="1"/>
        <v>advisorModal8</v>
      </c>
      <c r="F10" t="str">
        <f t="shared" si="1"/>
        <v>advisorModal9</v>
      </c>
      <c r="G10" t="s">
        <v>261</v>
      </c>
      <c r="K10" t="str">
        <f t="shared" si="0"/>
        <v>{name: "Tom Gutwein", title: "Healthcare, Medicine" ,desc: "Tom is a 1990 graduate of the Indiana University School of Medicine and 1993 class at IU/Methodist Hospital Residency in Emergency Medicine. An Emergency Physician since 1993, he has been practicing clinical medicine and adding administrative responsibility as President of Professional Emergency Physicians since 1998.  PEP is a group of 70 practicing physicians and 35 physician assistants covering 11 emergency departments in Northeast Indiana.   He is currently the Emergency Department Medical Director at Parkview Regional Medical Center in Fort Wayne Indiana, and is a past president of Indiana chapter of the American College of Emergency Physicians and Parkview Hospital Medical Staff.  He continues to serve as the service line clinical director for EMS/Emergency Medicine at Parkview Health which now sees over 200,000 emergency department patients annually.  Tom has lived in Fort Wayne Indiana for over 20 years, and loves to spend time with his wife Sally and 5 children aged 19-26 when he is able.  He also enjoys running, bicycle riding, triathalons, and serving as a volunteer and board member at another Matthew 25, a free health clinic for indigent people.  “To help others make the world a better place” is a key driving factor in why Tom participates in M25." ,prev: "advisorModal8" ,current: "advisorModal9" ,next: "advisorModal10" ,img: "img/advisors/tom_gutwein.jpg"},</v>
      </c>
    </row>
    <row r="11" spans="1:11">
      <c r="A11" t="s">
        <v>42</v>
      </c>
      <c r="B11" t="s">
        <v>43</v>
      </c>
      <c r="C11" t="s">
        <v>44</v>
      </c>
      <c r="D11" t="s">
        <v>275</v>
      </c>
      <c r="E11" t="str">
        <f t="shared" si="1"/>
        <v>advisorModal9</v>
      </c>
      <c r="F11" t="str">
        <f t="shared" si="1"/>
        <v>advisorModal10</v>
      </c>
      <c r="G11" t="s">
        <v>262</v>
      </c>
      <c r="K11" t="str">
        <f t="shared" si="0"/>
        <v>{name: "Pat East", title: "Marketing" ,desc: "Pat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 ,prev: "advisorModal9" ,current: "advisorModal10" ,next: "advisorModal11" ,img: "img/advisors/pat_east.jpg"},</v>
      </c>
    </row>
    <row r="12" spans="1:11">
      <c r="A12" t="s">
        <v>39</v>
      </c>
      <c r="B12" t="s">
        <v>40</v>
      </c>
      <c r="C12" t="s">
        <v>41</v>
      </c>
      <c r="D12" t="s">
        <v>274</v>
      </c>
      <c r="E12" t="str">
        <f t="shared" si="1"/>
        <v>advisorModal10</v>
      </c>
      <c r="F12" t="str">
        <f t="shared" si="1"/>
        <v>advisorModal11</v>
      </c>
      <c r="G12" t="s">
        <v>263</v>
      </c>
      <c r="K12" t="str">
        <f t="shared" si="0"/>
        <v>{name: "Steve Cittadine", title: "Energy" ,desc: "Steve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 ,prev: "advisorModal10" ,current: "advisorModal11" ,next: "advisorModal12" ,img: "img/advisors/steve_cittadine.jpg"},</v>
      </c>
    </row>
    <row r="13" spans="1:11">
      <c r="A13" t="s">
        <v>45</v>
      </c>
      <c r="B13" t="s">
        <v>46</v>
      </c>
      <c r="C13" t="s">
        <v>47</v>
      </c>
      <c r="D13" t="s">
        <v>276</v>
      </c>
      <c r="E13" t="str">
        <f t="shared" si="1"/>
        <v>advisorModal11</v>
      </c>
      <c r="F13" t="str">
        <f t="shared" si="1"/>
        <v>advisorModal12</v>
      </c>
      <c r="G13" t="s">
        <v>264</v>
      </c>
      <c r="K13" t="str">
        <f t="shared" si="0"/>
        <v>{name: "John Gorup", title: "Healthcare, Medicine" ,desc: "John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 ,prev: "advisorModal11" ,current: "advisorModal12" ,next: "advisorModal13" ,img: "img/advisors/john_gorup.jpg"},</v>
      </c>
    </row>
    <row r="14" spans="1:11">
      <c r="A14" t="s">
        <v>48</v>
      </c>
      <c r="B14" t="s">
        <v>49</v>
      </c>
      <c r="C14" t="s">
        <v>50</v>
      </c>
      <c r="D14" t="s">
        <v>277</v>
      </c>
      <c r="E14" t="str">
        <f t="shared" si="1"/>
        <v>advisorModal12</v>
      </c>
      <c r="F14" t="str">
        <f t="shared" si="1"/>
        <v>advisorModal13</v>
      </c>
      <c r="G14" t="s">
        <v>265</v>
      </c>
      <c r="K14" t="str">
        <f t="shared" si="0"/>
        <v>{name: "Cary Gutwein", title: "Consumer Products, Agriculture, Real Estate" ,desc: "Cary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 ,prev: "advisorModal12" ,current: "advisorModal13" ,next: "advisorModal14" ,img: "img/advisors/cary_gutwein.jpg"},</v>
      </c>
    </row>
    <row r="15" spans="1:11">
      <c r="A15" t="s">
        <v>51</v>
      </c>
      <c r="B15" t="s">
        <v>52</v>
      </c>
      <c r="C15" t="s">
        <v>53</v>
      </c>
      <c r="D15" s="1" t="s">
        <v>278</v>
      </c>
      <c r="E15" t="str">
        <f t="shared" ref="E15" si="2">F14</f>
        <v>advisorModal13</v>
      </c>
      <c r="F15" t="str">
        <f>G14</f>
        <v>advisorModal14</v>
      </c>
      <c r="G15" t="s">
        <v>54</v>
      </c>
      <c r="K15" t="str">
        <f t="shared" si="0"/>
        <v>{name: "Stan Gutwein", title: "SaaS, Mobile, Software" ,desc: "Stan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 ,prev: "advisorModal13" ,current: "advisorModal14" ,next: "advisorModal1" ,img: "img/advisors/stan_gutwein.jpg"},</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7"/>
  <sheetViews>
    <sheetView workbookViewId="0">
      <selection activeCell="H7" sqref="H7"/>
    </sheetView>
  </sheetViews>
  <sheetFormatPr baseColWidth="10" defaultRowHeight="16"/>
  <cols>
    <col min="6" max="8" width="11.6640625" bestFit="1" customWidth="1"/>
  </cols>
  <sheetData>
    <row r="1" spans="1:12">
      <c r="A1" t="s">
        <v>0</v>
      </c>
      <c r="B1" t="s">
        <v>1</v>
      </c>
      <c r="C1" t="s">
        <v>2</v>
      </c>
      <c r="D1" t="s">
        <v>3</v>
      </c>
      <c r="E1" t="s">
        <v>4</v>
      </c>
      <c r="F1" t="s">
        <v>5</v>
      </c>
      <c r="G1" t="s">
        <v>14</v>
      </c>
      <c r="H1" t="s">
        <v>6</v>
      </c>
      <c r="I1" t="s">
        <v>16</v>
      </c>
    </row>
    <row r="2" spans="1:12">
      <c r="A2" t="s">
        <v>7</v>
      </c>
      <c r="B2" t="s">
        <v>8</v>
      </c>
      <c r="C2" t="s">
        <v>9</v>
      </c>
      <c r="D2" t="s">
        <v>10</v>
      </c>
      <c r="E2" t="s">
        <v>11</v>
      </c>
      <c r="F2" t="str">
        <f t="array" ref="F2">INDEX(H:H,LARGE(IF(H:H&lt;&gt;"",ROW(H:H)),2))</f>
        <v>teamModal6</v>
      </c>
      <c r="G2" t="s">
        <v>15</v>
      </c>
      <c r="H2" t="s">
        <v>12</v>
      </c>
      <c r="I2" t="s">
        <v>17</v>
      </c>
      <c r="L2" t="str">
        <f>"{"&amp;$A$1&amp;":"&amp;" """&amp;A2&amp;""""&amp;", "&amp;$B$1&amp;":"&amp;" """&amp;B2&amp;""""&amp;" ,"&amp;$C$1&amp;":"&amp;" """&amp;C2&amp;""""&amp;" ,"&amp;$D$1&amp;":"&amp;" """&amp;D2&amp;""""&amp;" ,"&amp;$E$1&amp;":"&amp;" """&amp;E2&amp;""""&amp;" ,"&amp;$F$1&amp;":"&amp;" """&amp;F2&amp;""""&amp;" ,"&amp;$G$1&amp;":"&amp;" """&amp;G2&amp;""""&amp;" ,"&amp;$H$1&amp;":"&amp;" """&amp;H2&amp;""""&amp;" ,"&amp;$I$1&amp;":"&amp;" """&amp;I2&amp;""""&amp;"},"</f>
        <v>{name: "Victor Gutwein", title: "Managing Director &amp; Board Member" ,desc: "Victor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 ,twitter: "https://twitter.com/lalayak" ,medium: "https://medium.com/@lalayak" ,prev: "teamModal6" ,current: "teamModal1" ,next: "teamModal2" ,img: "img/team/victor.jpg"},</v>
      </c>
    </row>
    <row r="3" spans="1:12">
      <c r="A3" t="s">
        <v>18</v>
      </c>
      <c r="B3" t="s">
        <v>19</v>
      </c>
      <c r="C3" t="s">
        <v>20</v>
      </c>
      <c r="D3" t="s">
        <v>21</v>
      </c>
      <c r="E3" t="s">
        <v>22</v>
      </c>
      <c r="F3" t="str">
        <f>G2</f>
        <v>teamModal1</v>
      </c>
      <c r="G3" t="str">
        <f>H2</f>
        <v>teamModal2</v>
      </c>
      <c r="H3" t="s">
        <v>23</v>
      </c>
      <c r="I3" t="s">
        <v>24</v>
      </c>
      <c r="L3" t="str">
        <f>"{"&amp;$A$1&amp;":"&amp;" """&amp;A3&amp;""""&amp;", "&amp;$B$1&amp;":"&amp;" """&amp;B3&amp;""""&amp;" ,"&amp;$C$1&amp;":"&amp;" """&amp;C3&amp;""""&amp;" ,"&amp;$D$1&amp;":"&amp;" """&amp;D3&amp;""""&amp;" ,"&amp;$E$1&amp;":"&amp;" """&amp;E3&amp;""""&amp;" ,"&amp;$F$1&amp;":"&amp;" """&amp;F3&amp;""""&amp;" ,"&amp;$G$1&amp;":"&amp;" """&amp;G3&amp;""""&amp;" ,"&amp;$H$1&amp;":"&amp;" """&amp;H3&amp;""""&amp;" ,"&amp;$I$1&amp;":"&amp;" """&amp;I3&amp;""""&amp;"},"</f>
        <v>{name: "Mike Asem", title: "Director" ,desc: "While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 ,twitter: "https://twitter.com/DMikeAsem" ,medium: "https://medium.com/@dmikeasem" ,prev: "teamModal1" ,current: "teamModal2" ,next: "teamModal3" ,img: "img/team/mike.jpg"},</v>
      </c>
    </row>
    <row r="4" spans="1:12">
      <c r="A4" t="s">
        <v>27</v>
      </c>
      <c r="B4" t="s">
        <v>28</v>
      </c>
      <c r="C4" t="s">
        <v>29</v>
      </c>
      <c r="D4" t="s">
        <v>30</v>
      </c>
      <c r="E4" t="s">
        <v>31</v>
      </c>
      <c r="F4" t="str">
        <f>G3</f>
        <v>teamModal2</v>
      </c>
      <c r="G4" t="str">
        <f>H3</f>
        <v>teamModal3</v>
      </c>
      <c r="H4" t="s">
        <v>25</v>
      </c>
      <c r="I4" t="s">
        <v>32</v>
      </c>
      <c r="L4" t="str">
        <f t="shared" ref="L4:L7" si="0">"{"&amp;$A$1&amp;":"&amp;" """&amp;A4&amp;""""&amp;", "&amp;$B$1&amp;":"&amp;" """&amp;B4&amp;""""&amp;" ,"&amp;$C$1&amp;":"&amp;" """&amp;C4&amp;""""&amp;" ,"&amp;$D$1&amp;":"&amp;" """&amp;D4&amp;""""&amp;" ,"&amp;$E$1&amp;":"&amp;" """&amp;E4&amp;""""&amp;" ,"&amp;$F$1&amp;":"&amp;" """&amp;F4&amp;""""&amp;" ,"&amp;$G$1&amp;":"&amp;" """&amp;G4&amp;""""&amp;" ,"&amp;$H$1&amp;":"&amp;" """&amp;H4&amp;""""&amp;" ,"&amp;$I$1&amp;":"&amp;" """&amp;I4&amp;""""&amp;"},"</f>
        <v>{name: "Abhinaya Konduru", title: "Analyst" ,desc: "Abhinaya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 ,twitter: "https://twitter.com/itsabhinaya" ,medium: "https://medium.com/@itsabhinaya" ,prev: "teamModal2" ,current: "teamModal3" ,next: "teamModal4" ,img: "img/team/abhinaya.jpg"},</v>
      </c>
    </row>
    <row r="5" spans="1:12">
      <c r="A5" t="s">
        <v>33</v>
      </c>
      <c r="B5" t="s">
        <v>34</v>
      </c>
      <c r="C5" t="s">
        <v>35</v>
      </c>
      <c r="D5" t="s">
        <v>36</v>
      </c>
      <c r="E5" t="s">
        <v>37</v>
      </c>
      <c r="F5" t="str">
        <f t="shared" ref="F5:G7" si="1">G4</f>
        <v>teamModal3</v>
      </c>
      <c r="G5" t="str">
        <f t="shared" si="1"/>
        <v>teamModal4</v>
      </c>
      <c r="H5" t="s">
        <v>26</v>
      </c>
      <c r="I5" t="s">
        <v>38</v>
      </c>
      <c r="L5" t="str">
        <f t="shared" si="0"/>
        <v>{name: "Katherine Schulman", title: "Associate" ,desc: "Katherine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 ,twitter: "https://twitter.com/kpschulman" ,medium: "https://medium.com/@kpschulman" ,prev: "teamModal3" ,current: "teamModal4" ,next: "teamModal5" ,img: "img/team/katherine.jpg"},</v>
      </c>
    </row>
    <row r="6" spans="1:12">
      <c r="A6" t="s">
        <v>250</v>
      </c>
      <c r="B6" t="s">
        <v>34</v>
      </c>
      <c r="C6" t="s">
        <v>251</v>
      </c>
      <c r="D6" t="s">
        <v>252</v>
      </c>
      <c r="E6" t="s">
        <v>253</v>
      </c>
      <c r="F6" t="str">
        <f t="shared" si="1"/>
        <v>teamModal4</v>
      </c>
      <c r="G6" t="str">
        <f t="shared" si="1"/>
        <v>teamModal5</v>
      </c>
      <c r="H6" t="s">
        <v>13</v>
      </c>
      <c r="I6" t="s">
        <v>249</v>
      </c>
      <c r="L6" t="str">
        <f t="shared" si="0"/>
        <v>{name: "Paul Meier", title: "Associate" ,desc: "Paul earned his Bachelor of Business Administration degree from the University of Wisconsin-Madison, studying abroad at the Hong Kong University of Science and Technology. After graduating, he worked in an operational role for a travel industry start-up in Uruguay before returning to his native Milwaukee. There, he spent ten years in a variety of financial management roles with operators in the industrial automation and manufacturing industries before earning his MBA from The University of Chicago Booth School of Business. Most recently, Paul has supported business development activities for a hospitality ecommerce start-up. He and his wife Sara are intrepid travelers, and they live in Chicago’s Streeterville neighborhood with their beloved Boston Terrier, Lou. In his free time, Paul enjoys playing drums, snowboarding, history, film, and keeping up with Wisconsin sports teams." ,twitter: "https://twitter.com/paullmeier" ,medium: "https://medium.com/@paul.meier_24199" ,prev: "teamModal4" ,current: "teamModal5" ,next: "teamModal6" ,img: "img/team/paul.jpg"},</v>
      </c>
    </row>
    <row r="7" spans="1:12">
      <c r="A7" t="s">
        <v>256</v>
      </c>
      <c r="B7" t="s">
        <v>257</v>
      </c>
      <c r="C7" t="s">
        <v>255</v>
      </c>
      <c r="F7" t="str">
        <f t="shared" si="1"/>
        <v>teamModal5</v>
      </c>
      <c r="G7" t="str">
        <f t="shared" si="1"/>
        <v>teamModal6</v>
      </c>
      <c r="H7" t="s">
        <v>15</v>
      </c>
      <c r="I7" t="s">
        <v>254</v>
      </c>
      <c r="L7" t="str">
        <f t="shared" si="0"/>
        <v>{name: "Jenny Shao", title: "Student Analyst" ,desc: "Jenny is an undergraduate student attending the University of Chicago for Economics and Visual Arts. On campus, she is a board member of Women in Business, participates in Prism Consulting’s pro-bono division, and plays cello in the University Symphony Orchestra. While in high school, she created and organized TEDxWestLafayetteHS, a TEDx conference, from scratch. In her downtime, Jenny can be found playing and arranging music or doodling absentmindedly." ,twitter: "" ,medium: "" ,prev: "teamModal5" ,current: "teamModal6" ,next: "teamModal1" ,img: "img/team/jenny.jpg"},</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65"/>
  <sheetViews>
    <sheetView tabSelected="1" workbookViewId="0">
      <selection activeCell="C2" sqref="C2"/>
    </sheetView>
  </sheetViews>
  <sheetFormatPr baseColWidth="10" defaultRowHeight="16"/>
  <cols>
    <col min="4" max="4" width="31.33203125" bestFit="1" customWidth="1"/>
    <col min="5" max="5" width="70" bestFit="1" customWidth="1"/>
    <col min="6" max="6" width="16" bestFit="1" customWidth="1"/>
  </cols>
  <sheetData>
    <row r="1" spans="1:17">
      <c r="A1" t="s">
        <v>169</v>
      </c>
      <c r="B1" t="s">
        <v>60</v>
      </c>
      <c r="D1" t="s">
        <v>61</v>
      </c>
      <c r="E1" t="s">
        <v>62</v>
      </c>
      <c r="F1" t="s">
        <v>16</v>
      </c>
    </row>
    <row r="2" spans="1:17">
      <c r="B2" s="2" t="s">
        <v>306</v>
      </c>
      <c r="D2" t="str">
        <f t="shared" ref="D2:D5" si="0">C2&amp;"?ref=M25"</f>
        <v>?ref=M25</v>
      </c>
      <c r="I2" t="str">
        <f t="shared" ref="I2:I5" si="1">"{"&amp;$D$1&amp;":"&amp;" """&amp;D2&amp;""""&amp;", "&amp;$E$1&amp;":"&amp;" """&amp;E2&amp;""""&amp;" ,"&amp;$F$1&amp;":"&amp;" """&amp;F2&amp;""""&amp;"},"</f>
        <v>{url: "?ref=M25", class: "" ,img: ""},</v>
      </c>
    </row>
    <row r="3" spans="1:17">
      <c r="B3" s="2" t="s">
        <v>305</v>
      </c>
      <c r="D3" t="str">
        <f t="shared" si="0"/>
        <v>?ref=M25</v>
      </c>
      <c r="I3" t="str">
        <f t="shared" si="1"/>
        <v>{url: "?ref=M25", class: "" ,img: ""},</v>
      </c>
    </row>
    <row r="4" spans="1:17">
      <c r="B4" s="2" t="s">
        <v>304</v>
      </c>
      <c r="D4" t="str">
        <f t="shared" si="0"/>
        <v>?ref=M25</v>
      </c>
      <c r="I4" t="str">
        <f t="shared" si="1"/>
        <v>{url: "?ref=M25", class: "" ,img: ""},</v>
      </c>
    </row>
    <row r="5" spans="1:17">
      <c r="B5" s="2" t="s">
        <v>303</v>
      </c>
      <c r="D5" t="str">
        <f t="shared" si="0"/>
        <v>?ref=M25</v>
      </c>
      <c r="I5" t="str">
        <f t="shared" si="1"/>
        <v>{url: "?ref=M25", class: "" ,img: ""},</v>
      </c>
    </row>
    <row r="6" spans="1:17">
      <c r="A6" s="8">
        <f>portfolio_data!B61</f>
        <v>43066</v>
      </c>
      <c r="B6" t="s">
        <v>120</v>
      </c>
      <c r="C6" t="s">
        <v>229</v>
      </c>
      <c r="D6" t="str">
        <f>C6&amp;"?ref=M25"</f>
        <v>https://www.safechain.io/?ref=M25</v>
      </c>
      <c r="E6" t="str">
        <f>"state_"&amp;portfolio_data!C61&amp;" "&amp;portfolio_data!D61&amp;" "&amp;VLOOKUP(portfolio_data!E61,portfolio_data!$K$2:$L$4,2,0)&amp;" "&amp;IFERROR(VLOOKUP(portfolio_data!F61,portfolio_data!$K$7:$L$19,2,0),"")&amp;" "&amp;IFERROR(VLOOKUP(portfolio_data!G61,portfolio_data!$K$7:$L$19,2,0),"")&amp;" "&amp;IFERROR(VLOOKUP(portfolio_data!H61,portfolio_data!$K$7:$L$19,2,0),"")</f>
        <v xml:space="preserve">state_OH funds2 business_B2B industry_finance  </v>
      </c>
      <c r="F6" t="s">
        <v>120</v>
      </c>
      <c r="I6" t="str">
        <f>"{"&amp;$D$1&amp;":"&amp;" """&amp;D6&amp;""""&amp;", "&amp;$E$1&amp;":"&amp;" """&amp;E6&amp;""""&amp;" ,"&amp;$F$1&amp;":"&amp;" """&amp;F6&amp;""""&amp;"},"</f>
        <v>{url: "https://www.safechain.io/?ref=M25", class: "state_OH funds2 business_B2B industry_finance  " ,img: "SafeChain"},</v>
      </c>
      <c r="Q6" s="2"/>
    </row>
    <row r="7" spans="1:17">
      <c r="A7" s="8">
        <f>portfolio_data!B60</f>
        <v>43060</v>
      </c>
      <c r="B7" t="s">
        <v>119</v>
      </c>
      <c r="C7" t="s">
        <v>228</v>
      </c>
      <c r="D7" t="str">
        <f t="shared" ref="D7:D63" si="2">C7&amp;"?ref=M25"</f>
        <v>https://www.bizzycoffee.com/?ref=M25</v>
      </c>
      <c r="E7" t="str">
        <f>"state_"&amp;portfolio_data!C60&amp;" "&amp;portfolio_data!D60&amp;" "&amp;VLOOKUP(portfolio_data!E60,portfolio_data!$K$2:$L$4,2,0)&amp;" "&amp;IFERROR(VLOOKUP(portfolio_data!F60,portfolio_data!$K$7:$L$19,2,0),"")&amp;" "&amp;IFERROR(VLOOKUP(portfolio_data!G60,portfolio_data!$K$7:$L$19,2,0),"")&amp;" "&amp;IFERROR(VLOOKUP(portfolio_data!H60,portfolio_data!$K$7:$L$19,2,0),"")</f>
        <v xml:space="preserve">state_MN funds2 business_B2C industry_food industry_other </v>
      </c>
      <c r="F7" t="s">
        <v>248</v>
      </c>
      <c r="I7" t="str">
        <f t="shared" ref="I7:I62" si="3">"{"&amp;$D$1&amp;":"&amp;" """&amp;D7&amp;""""&amp;", "&amp;$E$1&amp;":"&amp;" """&amp;E7&amp;""""&amp;" ,"&amp;$F$1&amp;":"&amp;" """&amp;F7&amp;""""&amp;"},"</f>
        <v>{url: "https://www.bizzycoffee.com/?ref=M25", class: "state_MN funds2 business_B2C industry_food industry_other " ,img: "BizzyCoffee"},</v>
      </c>
      <c r="Q7" s="2"/>
    </row>
    <row r="8" spans="1:17">
      <c r="A8" s="8">
        <f>portfolio_data!B58</f>
        <v>43055</v>
      </c>
      <c r="B8" t="s">
        <v>117</v>
      </c>
      <c r="C8" t="s">
        <v>226</v>
      </c>
      <c r="D8" t="str">
        <f t="shared" si="2"/>
        <v>https://hippomanager.com/?ref=M25</v>
      </c>
      <c r="E8" t="str">
        <f>"state_"&amp;portfolio_data!C58&amp;" "&amp;portfolio_data!D58&amp;" "&amp;VLOOKUP(portfolio_data!E58,portfolio_data!$K$2:$L$4,2,0)&amp;" "&amp;IFERROR(VLOOKUP(portfolio_data!F58,portfolio_data!$K$7:$L$19,2,0),"")&amp;" "&amp;IFERROR(VLOOKUP(portfolio_data!G58,portfolio_data!$K$7:$L$19,2,0),"")&amp;" "&amp;IFERROR(VLOOKUP(portfolio_data!H58,portfolio_data!$K$7:$L$19,2,0),"")</f>
        <v xml:space="preserve">state_KY funds2 business_B2B  industry_enterprise </v>
      </c>
      <c r="F8" t="s">
        <v>247</v>
      </c>
      <c r="I8" t="str">
        <f t="shared" si="3"/>
        <v>{url: "https://hippomanager.com/?ref=M25", class: "state_KY funds2 business_B2B  industry_enterprise " ,img: "HippoManager"},</v>
      </c>
      <c r="Q8" s="2"/>
    </row>
    <row r="9" spans="1:17">
      <c r="A9" s="8">
        <f>portfolio_data!B59</f>
        <v>43053</v>
      </c>
      <c r="B9" t="s">
        <v>118</v>
      </c>
      <c r="C9" t="s">
        <v>227</v>
      </c>
      <c r="D9" t="str">
        <f t="shared" si="2"/>
        <v>https://changedynamix.io/?ref=M25</v>
      </c>
      <c r="E9" t="str">
        <f>"state_"&amp;portfolio_data!C59&amp;" "&amp;portfolio_data!D59&amp;" "&amp;VLOOKUP(portfolio_data!E59,portfolio_data!$K$2:$L$4,2,0)&amp;" "&amp;IFERROR(VLOOKUP(portfolio_data!F59,portfolio_data!$K$7:$L$19,2,0),"")&amp;" "&amp;IFERROR(VLOOKUP(portfolio_data!G59,portfolio_data!$K$7:$L$19,2,0),"")&amp;" "&amp;IFERROR(VLOOKUP(portfolio_data!H59,portfolio_data!$K$7:$L$19,2,0),"")</f>
        <v xml:space="preserve">state_MI funds2 business_B2B industry_enterprise  </v>
      </c>
      <c r="F9" t="s">
        <v>118</v>
      </c>
      <c r="I9" t="str">
        <f t="shared" si="3"/>
        <v>{url: "https://changedynamix.io/?ref=M25", class: "state_MI funds2 business_B2B industry_enterprise  " ,img: "ChangeDynamix"},</v>
      </c>
      <c r="Q9" s="2"/>
    </row>
    <row r="10" spans="1:17">
      <c r="A10" s="8">
        <f>portfolio_data!B57</f>
        <v>43048</v>
      </c>
      <c r="B10" t="s">
        <v>116</v>
      </c>
      <c r="C10" t="s">
        <v>225</v>
      </c>
      <c r="D10" t="str">
        <f t="shared" si="2"/>
        <v>http://www.virtualkey.co/?ref=M25</v>
      </c>
      <c r="E10" t="str">
        <f>"state_"&amp;portfolio_data!C57&amp;" "&amp;portfolio_data!D57&amp;" "&amp;VLOOKUP(portfolio_data!E57,portfolio_data!$K$2:$L$4,2,0)&amp;" "&amp;IFERROR(VLOOKUP(portfolio_data!F57,portfolio_data!$K$7:$L$19,2,0),"")&amp;" "&amp;IFERROR(VLOOKUP(portfolio_data!G57,portfolio_data!$K$7:$L$19,2,0),"")&amp;" "&amp;IFERROR(VLOOKUP(portfolio_data!H57,portfolio_data!$K$7:$L$19,2,0),"")</f>
        <v xml:space="preserve">state_IL funds2 business_B2B business_B2C industry_realestate industry_analytics </v>
      </c>
      <c r="F10" t="s">
        <v>116</v>
      </c>
      <c r="I10" t="str">
        <f t="shared" si="3"/>
        <v>{url: "http://www.virtualkey.co/?ref=M25", class: "state_IL funds2 business_B2B business_B2C industry_realestate industry_analytics " ,img: "VirtualKey"},</v>
      </c>
      <c r="Q10" s="2"/>
    </row>
    <row r="11" spans="1:17">
      <c r="A11" s="8">
        <f>portfolio_data!B56</f>
        <v>43041</v>
      </c>
      <c r="B11" t="s">
        <v>115</v>
      </c>
      <c r="C11" t="s">
        <v>224</v>
      </c>
      <c r="D11" t="str">
        <f t="shared" si="2"/>
        <v>https://www.parrable.com/?ref=M25</v>
      </c>
      <c r="E11" t="str">
        <f>"state_"&amp;portfolio_data!C56&amp;" "&amp;portfolio_data!D56&amp;" "&amp;VLOOKUP(portfolio_data!E56,portfolio_data!$K$2:$L$4,2,0)&amp;" "&amp;IFERROR(VLOOKUP(portfolio_data!F56,portfolio_data!$K$7:$L$19,2,0),"")&amp;" "&amp;IFERROR(VLOOKUP(portfolio_data!G56,portfolio_data!$K$7:$L$19,2,0),"")&amp;" "&amp;IFERROR(VLOOKUP(portfolio_data!H56,portfolio_data!$K$7:$L$19,2,0),"")</f>
        <v xml:space="preserve">state_MI funds2 business_B2B industry_analytics industry_marketing </v>
      </c>
      <c r="F11" t="s">
        <v>115</v>
      </c>
      <c r="I11" t="str">
        <f t="shared" si="3"/>
        <v>{url: "https://www.parrable.com/?ref=M25", class: "state_MI funds2 business_B2B industry_analytics industry_marketing " ,img: "Parrable"},</v>
      </c>
      <c r="Q11" s="2"/>
    </row>
    <row r="12" spans="1:17">
      <c r="A12" s="8">
        <f>portfolio_data!B55</f>
        <v>43031</v>
      </c>
      <c r="B12" t="s">
        <v>114</v>
      </c>
      <c r="C12" t="s">
        <v>223</v>
      </c>
      <c r="D12" t="str">
        <f t="shared" si="2"/>
        <v>https://www.amopportunities.org/?ref=M25</v>
      </c>
      <c r="E12" t="str">
        <f>"state_"&amp;portfolio_data!C55&amp;" "&amp;portfolio_data!D55&amp;" "&amp;VLOOKUP(portfolio_data!E55,portfolio_data!$K$2:$L$4,2,0)&amp;" "&amp;IFERROR(VLOOKUP(portfolio_data!F55,portfolio_data!$K$7:$L$19,2,0),"")&amp;" "&amp;IFERROR(VLOOKUP(portfolio_data!G55,portfolio_data!$K$7:$L$19,2,0),"")&amp;" "&amp;IFERROR(VLOOKUP(portfolio_data!H55,portfolio_data!$K$7:$L$19,2,0),"")</f>
        <v xml:space="preserve">state_IL funds2 business_B2C industry_healthcare industry_education </v>
      </c>
      <c r="F12" t="s">
        <v>114</v>
      </c>
      <c r="I12" t="str">
        <f t="shared" si="3"/>
        <v>{url: "https://www.amopportunities.org/?ref=M25", class: "state_IL funds2 business_B2C industry_healthcare industry_education " ,img: "AMOpportunities"},</v>
      </c>
      <c r="Q12" s="2"/>
    </row>
    <row r="13" spans="1:17">
      <c r="A13" s="8">
        <f>portfolio_data!B54</f>
        <v>43024</v>
      </c>
      <c r="B13" t="s">
        <v>113</v>
      </c>
      <c r="C13" t="s">
        <v>222</v>
      </c>
      <c r="D13" t="str">
        <f t="shared" si="2"/>
        <v>http://backstitch.io/?ref=M25</v>
      </c>
      <c r="E13" t="str">
        <f>"state_"&amp;portfolio_data!C54&amp;" "&amp;portfolio_data!D54&amp;" "&amp;VLOOKUP(portfolio_data!E54,portfolio_data!$K$2:$L$4,2,0)&amp;" "&amp;IFERROR(VLOOKUP(portfolio_data!F54,portfolio_data!$K$7:$L$19,2,0),"")&amp;" "&amp;IFERROR(VLOOKUP(portfolio_data!G54,portfolio_data!$K$7:$L$19,2,0),"")&amp;" "&amp;IFERROR(VLOOKUP(portfolio_data!H54,portfolio_data!$K$7:$L$19,2,0),"")</f>
        <v xml:space="preserve">state_MO funds2 business_B2B industry_enterprise  </v>
      </c>
      <c r="F13" t="s">
        <v>113</v>
      </c>
      <c r="I13" t="str">
        <f t="shared" si="3"/>
        <v>{url: "http://backstitch.io/?ref=M25", class: "state_MO funds2 business_B2B industry_enterprise  " ,img: "BackStitch"},</v>
      </c>
      <c r="Q13" s="2"/>
    </row>
    <row r="14" spans="1:17">
      <c r="A14" s="8">
        <f>portfolio_data!B53</f>
        <v>43004</v>
      </c>
      <c r="B14" t="s">
        <v>112</v>
      </c>
      <c r="C14" t="s">
        <v>221</v>
      </c>
      <c r="D14" t="str">
        <f t="shared" si="2"/>
        <v>http://www.idelictech.com/?ref=M25</v>
      </c>
      <c r="E14" t="str">
        <f>"state_"&amp;portfolio_data!C53&amp;" "&amp;portfolio_data!D53&amp;" "&amp;VLOOKUP(portfolio_data!E53,portfolio_data!$K$2:$L$4,2,0)&amp;" "&amp;IFERROR(VLOOKUP(portfolio_data!F53,portfolio_data!$K$7:$L$19,2,0),"")&amp;" "&amp;IFERROR(VLOOKUP(portfolio_data!G53,portfolio_data!$K$7:$L$19,2,0),"")&amp;" "&amp;IFERROR(VLOOKUP(portfolio_data!H53,portfolio_data!$K$7:$L$19,2,0),"")</f>
        <v xml:space="preserve">state_PA funds2 business_B2B industry_transportation  </v>
      </c>
      <c r="F14" t="s">
        <v>246</v>
      </c>
      <c r="I14" t="str">
        <f t="shared" si="3"/>
        <v>{url: "http://www.idelictech.com/?ref=M25", class: "state_PA funds2 business_B2B industry_transportation  " ,img: "IdelicTech"},</v>
      </c>
      <c r="Q14" s="2"/>
    </row>
    <row r="15" spans="1:17">
      <c r="A15" s="8">
        <f>portfolio_data!B52</f>
        <v>43000</v>
      </c>
      <c r="B15" t="s">
        <v>111</v>
      </c>
      <c r="C15" t="s">
        <v>220</v>
      </c>
      <c r="D15" t="str">
        <f t="shared" si="2"/>
        <v>https://cfxtrading.com/?ref=M25</v>
      </c>
      <c r="E15" t="str">
        <f>"state_"&amp;portfolio_data!C52&amp;" "&amp;portfolio_data!D52&amp;" "&amp;VLOOKUP(portfolio_data!E52,portfolio_data!$K$2:$L$4,2,0)&amp;" "&amp;IFERROR(VLOOKUP(portfolio_data!F52,portfolio_data!$K$7:$L$19,2,0),"")&amp;" "&amp;IFERROR(VLOOKUP(portfolio_data!G52,portfolio_data!$K$7:$L$19,2,0),"")&amp;" "&amp;IFERROR(VLOOKUP(portfolio_data!H52,portfolio_data!$K$7:$L$19,2,0),"")</f>
        <v xml:space="preserve">state_IL funds2 business_B2B business_B2C industry_finance  </v>
      </c>
      <c r="F15" t="s">
        <v>245</v>
      </c>
      <c r="I15" t="str">
        <f t="shared" si="3"/>
        <v>{url: "https://cfxtrading.com/?ref=M25", class: "state_IL funds2 business_B2B business_B2C industry_finance  " ,img: "CFXMarkets"},</v>
      </c>
      <c r="Q15" s="2"/>
    </row>
    <row r="16" spans="1:17">
      <c r="A16" s="8">
        <f>portfolio_data!B49</f>
        <v>42948</v>
      </c>
      <c r="B16" t="s">
        <v>108</v>
      </c>
      <c r="C16" t="s">
        <v>217</v>
      </c>
      <c r="D16" t="str">
        <f t="shared" si="2"/>
        <v>http://www.employstream.com/?ref=M25</v>
      </c>
      <c r="E16" t="str">
        <f>"state_"&amp;portfolio_data!C49&amp;" "&amp;portfolio_data!D49&amp;" "&amp;VLOOKUP(portfolio_data!E49,portfolio_data!$K$2:$L$4,2,0)&amp;" "&amp;IFERROR(VLOOKUP(portfolio_data!F49,portfolio_data!$K$7:$L$19,2,0),"")&amp;" "&amp;IFERROR(VLOOKUP(portfolio_data!G49,portfolio_data!$K$7:$L$19,2,0),"")&amp;" "&amp;IFERROR(VLOOKUP(portfolio_data!H49,portfolio_data!$K$7:$L$19,2,0),"")</f>
        <v xml:space="preserve">state_OH funds2 business_B2B industry_enterprise  </v>
      </c>
      <c r="F16" t="s">
        <v>108</v>
      </c>
      <c r="I16" t="str">
        <f t="shared" si="3"/>
        <v>{url: "http://www.employstream.com/?ref=M25", class: "state_OH funds2 business_B2B industry_enterprise  " ,img: "EmployStream"},</v>
      </c>
      <c r="Q16" s="2"/>
    </row>
    <row r="17" spans="1:17">
      <c r="A17" s="8">
        <f>portfolio_data!B50</f>
        <v>42948</v>
      </c>
      <c r="B17" t="s">
        <v>109</v>
      </c>
      <c r="C17" t="s">
        <v>218</v>
      </c>
      <c r="D17" t="str">
        <f t="shared" si="2"/>
        <v>https://ryvit.com/?ref=M25</v>
      </c>
      <c r="E17" t="str">
        <f>"state_"&amp;portfolio_data!C50&amp;" "&amp;portfolio_data!D50&amp;" "&amp;VLOOKUP(portfolio_data!E50,portfolio_data!$K$2:$L$4,2,0)&amp;" "&amp;IFERROR(VLOOKUP(portfolio_data!F50,portfolio_data!$K$7:$L$19,2,0),"")&amp;" "&amp;IFERROR(VLOOKUP(portfolio_data!G50,portfolio_data!$K$7:$L$19,2,0),"")&amp;" "&amp;IFERROR(VLOOKUP(portfolio_data!H50,portfolio_data!$K$7:$L$19,2,0),"")</f>
        <v xml:space="preserve">state_MO funds2 business_B2B industry_enterprise  </v>
      </c>
      <c r="F17" t="s">
        <v>109</v>
      </c>
      <c r="I17" t="str">
        <f t="shared" si="3"/>
        <v>{url: "https://ryvit.com/?ref=M25", class: "state_MO funds2 business_B2B industry_enterprise  " ,img: "Ryvit"},</v>
      </c>
      <c r="Q17" s="2"/>
    </row>
    <row r="18" spans="1:17">
      <c r="A18" s="8">
        <f>portfolio_data!B51</f>
        <v>42948</v>
      </c>
      <c r="B18" t="s">
        <v>110</v>
      </c>
      <c r="C18" t="s">
        <v>219</v>
      </c>
      <c r="D18" t="str">
        <f t="shared" si="2"/>
        <v>https://www.geneticure.com/?ref=M25</v>
      </c>
      <c r="E18" t="str">
        <f>"state_"&amp;portfolio_data!C51&amp;" "&amp;portfolio_data!D51&amp;" "&amp;VLOOKUP(portfolio_data!E51,portfolio_data!$K$2:$L$4,2,0)&amp;" "&amp;IFERROR(VLOOKUP(portfolio_data!F51,portfolio_data!$K$7:$L$19,2,0),"")&amp;" "&amp;IFERROR(VLOOKUP(portfolio_data!G51,portfolio_data!$K$7:$L$19,2,0),"")&amp;" "&amp;IFERROR(VLOOKUP(portfolio_data!H51,portfolio_data!$K$7:$L$19,2,0),"")</f>
        <v xml:space="preserve">state_MN funds2 business_B2B industry_healthcare  </v>
      </c>
      <c r="F18" t="s">
        <v>110</v>
      </c>
      <c r="I18" t="str">
        <f t="shared" si="3"/>
        <v>{url: "https://www.geneticure.com/?ref=M25", class: "state_MN funds2 business_B2B industry_healthcare  " ,img: "Geneticure"},</v>
      </c>
      <c r="Q18" s="2"/>
    </row>
    <row r="19" spans="1:17">
      <c r="A19" s="8">
        <f>portfolio_data!B47</f>
        <v>42917</v>
      </c>
      <c r="B19" t="s">
        <v>106</v>
      </c>
      <c r="C19" t="s">
        <v>215</v>
      </c>
      <c r="D19" t="str">
        <f t="shared" si="2"/>
        <v>http://www.markitmedical.com/?ref=M25</v>
      </c>
      <c r="E19" t="str">
        <f>"state_"&amp;portfolio_data!C47&amp;" "&amp;portfolio_data!D47&amp;" "&amp;VLOOKUP(portfolio_data!E47,portfolio_data!$K$2:$L$4,2,0)&amp;" "&amp;IFERROR(VLOOKUP(portfolio_data!F47,portfolio_data!$K$7:$L$19,2,0),"")&amp;" "&amp;IFERROR(VLOOKUP(portfolio_data!G47,portfolio_data!$K$7:$L$19,2,0),"")&amp;" "&amp;IFERROR(VLOOKUP(portfolio_data!H47,portfolio_data!$K$7:$L$19,2,0),"")</f>
        <v xml:space="preserve">state_IL funds2 business_B2B business_B2C industry_healthcare  </v>
      </c>
      <c r="F19" t="s">
        <v>244</v>
      </c>
      <c r="I19" t="str">
        <f t="shared" si="3"/>
        <v>{url: "http://www.markitmedical.com/?ref=M25", class: "state_IL funds2 business_B2B business_B2C industry_healthcare  " ,img: "MarkItMedical"},</v>
      </c>
      <c r="Q19" s="2"/>
    </row>
    <row r="20" spans="1:17">
      <c r="A20" s="8">
        <f>portfolio_data!B48</f>
        <v>42917</v>
      </c>
      <c r="B20" t="s">
        <v>107</v>
      </c>
      <c r="C20" t="s">
        <v>216</v>
      </c>
      <c r="D20" t="str">
        <f t="shared" si="2"/>
        <v>https://www.datacubes.com/?ref=M25</v>
      </c>
      <c r="E20" t="str">
        <f>"state_"&amp;portfolio_data!C48&amp;" "&amp;portfolio_data!D48&amp;" "&amp;VLOOKUP(portfolio_data!E48,portfolio_data!$K$2:$L$4,2,0)&amp;" "&amp;IFERROR(VLOOKUP(portfolio_data!F48,portfolio_data!$K$7:$L$19,2,0),"")&amp;" "&amp;IFERROR(VLOOKUP(portfolio_data!G48,portfolio_data!$K$7:$L$19,2,0),"")&amp;" "&amp;IFERROR(VLOOKUP(portfolio_data!H48,portfolio_data!$K$7:$L$19,2,0),"")</f>
        <v xml:space="preserve">state_IL funds2 business_B2B industry_finance  </v>
      </c>
      <c r="F20" t="s">
        <v>107</v>
      </c>
      <c r="I20" t="str">
        <f t="shared" si="3"/>
        <v>{url: "https://www.datacubes.com/?ref=M25", class: "state_IL funds2 business_B2B industry_finance  " ,img: "DataCubes"},</v>
      </c>
      <c r="Q20" s="2"/>
    </row>
    <row r="21" spans="1:17">
      <c r="A21" s="8">
        <f>portfolio_data!B43</f>
        <v>42887</v>
      </c>
      <c r="B21" t="s">
        <v>102</v>
      </c>
      <c r="C21" t="s">
        <v>211</v>
      </c>
      <c r="D21" t="str">
        <f t="shared" si="2"/>
        <v>https://www.kin.us/?ref=M25</v>
      </c>
      <c r="E21" t="str">
        <f>"state_"&amp;portfolio_data!C43&amp;" "&amp;portfolio_data!D43&amp;" "&amp;VLOOKUP(portfolio_data!E43,portfolio_data!$K$2:$L$4,2,0)&amp;" "&amp;IFERROR(VLOOKUP(portfolio_data!F43,portfolio_data!$K$7:$L$19,2,0),"")&amp;" "&amp;IFERROR(VLOOKUP(portfolio_data!G43,portfolio_data!$K$7:$L$19,2,0),"")&amp;" "&amp;IFERROR(VLOOKUP(portfolio_data!H43,portfolio_data!$K$7:$L$19,2,0),"")</f>
        <v xml:space="preserve">state_IL funds2 business_B2C industry_finance  </v>
      </c>
      <c r="F21" t="s">
        <v>242</v>
      </c>
      <c r="I21" t="str">
        <f t="shared" si="3"/>
        <v>{url: "https://www.kin.us/?ref=M25", class: "state_IL funds2 business_B2C industry_finance  " ,img: "Kin"},</v>
      </c>
      <c r="Q21" s="2"/>
    </row>
    <row r="22" spans="1:17">
      <c r="A22" s="8">
        <f>portfolio_data!B44</f>
        <v>42887</v>
      </c>
      <c r="B22" t="s">
        <v>103</v>
      </c>
      <c r="C22" t="s">
        <v>212</v>
      </c>
      <c r="D22" t="str">
        <f t="shared" si="2"/>
        <v>http://rapchat.me/?ref=M25</v>
      </c>
      <c r="E22" t="str">
        <f>"state_"&amp;portfolio_data!C44&amp;" "&amp;portfolio_data!D44&amp;" "&amp;VLOOKUP(portfolio_data!E44,portfolio_data!$K$2:$L$4,2,0)&amp;" "&amp;IFERROR(VLOOKUP(portfolio_data!F44,portfolio_data!$K$7:$L$19,2,0),"")&amp;" "&amp;IFERROR(VLOOKUP(portfolio_data!G44,portfolio_data!$K$7:$L$19,2,0),"")&amp;" "&amp;IFERROR(VLOOKUP(portfolio_data!H44,portfolio_data!$K$7:$L$19,2,0),"")</f>
        <v xml:space="preserve">state_OH funds2 business_B2C industry_entertainment industry_apps </v>
      </c>
      <c r="F22" t="s">
        <v>103</v>
      </c>
      <c r="I22" t="str">
        <f t="shared" si="3"/>
        <v>{url: "http://rapchat.me/?ref=M25", class: "state_OH funds2 business_B2C industry_entertainment industry_apps " ,img: "RapChat"},</v>
      </c>
      <c r="Q22" s="2"/>
    </row>
    <row r="23" spans="1:17">
      <c r="A23" s="8">
        <f>portfolio_data!B45</f>
        <v>42887</v>
      </c>
      <c r="B23" t="s">
        <v>104</v>
      </c>
      <c r="C23" t="s">
        <v>213</v>
      </c>
      <c r="D23" t="str">
        <f t="shared" si="2"/>
        <v>https://cheddargetter.com/?ref=M25</v>
      </c>
      <c r="E23" t="str">
        <f>"state_"&amp;portfolio_data!C45&amp;" "&amp;portfolio_data!D45&amp;" "&amp;VLOOKUP(portfolio_data!E45,portfolio_data!$K$2:$L$4,2,0)&amp;" "&amp;IFERROR(VLOOKUP(portfolio_data!F45,portfolio_data!$K$7:$L$19,2,0),"")&amp;" "&amp;IFERROR(VLOOKUP(portfolio_data!G45,portfolio_data!$K$7:$L$19,2,0),"")&amp;" "&amp;IFERROR(VLOOKUP(portfolio_data!H45,portfolio_data!$K$7:$L$19,2,0),"")</f>
        <v xml:space="preserve">state_IN funds2 business_B2B industry_finance  </v>
      </c>
      <c r="F23" t="s">
        <v>243</v>
      </c>
      <c r="I23" t="str">
        <f t="shared" si="3"/>
        <v>{url: "https://cheddargetter.com/?ref=M25", class: "state_IN funds2 business_B2B industry_finance  " ,img: "CheddarGetter"},</v>
      </c>
      <c r="Q23" s="2"/>
    </row>
    <row r="24" spans="1:17">
      <c r="A24" s="8">
        <f>portfolio_data!B46</f>
        <v>42887</v>
      </c>
      <c r="B24" t="s">
        <v>105</v>
      </c>
      <c r="C24" t="s">
        <v>214</v>
      </c>
      <c r="D24" t="str">
        <f t="shared" si="2"/>
        <v>http://opendorse.com/?ref=M25</v>
      </c>
      <c r="E24" t="str">
        <f>"state_"&amp;portfolio_data!C46&amp;" "&amp;portfolio_data!D46&amp;" "&amp;VLOOKUP(portfolio_data!E46,portfolio_data!$K$2:$L$4,2,0)&amp;" "&amp;IFERROR(VLOOKUP(portfolio_data!F46,portfolio_data!$K$7:$L$19,2,0),"")&amp;" "&amp;IFERROR(VLOOKUP(portfolio_data!G46,portfolio_data!$K$7:$L$19,2,0),"")&amp;" "&amp;IFERROR(VLOOKUP(portfolio_data!H46,portfolio_data!$K$7:$L$19,2,0),"")</f>
        <v xml:space="preserve">state_NE funds2 business_B2B industry_entertainment industry_marketing </v>
      </c>
      <c r="F24" t="s">
        <v>105</v>
      </c>
      <c r="I24" t="str">
        <f t="shared" si="3"/>
        <v>{url: "http://opendorse.com/?ref=M25", class: "state_NE funds2 business_B2B industry_entertainment industry_marketing " ,img: "Opendorse"},</v>
      </c>
      <c r="Q24" s="2"/>
    </row>
    <row r="25" spans="1:17">
      <c r="A25" s="8">
        <f>portfolio_data!B40</f>
        <v>42856</v>
      </c>
      <c r="B25" t="s">
        <v>99</v>
      </c>
      <c r="C25" t="s">
        <v>208</v>
      </c>
      <c r="D25" t="str">
        <f t="shared" si="2"/>
        <v>http://www.completeset.com/?ref=M25</v>
      </c>
      <c r="E25" t="str">
        <f>"state_"&amp;portfolio_data!C40&amp;" "&amp;portfolio_data!D40&amp;" "&amp;VLOOKUP(portfolio_data!E40,portfolio_data!$K$2:$L$4,2,0)&amp;" "&amp;IFERROR(VLOOKUP(portfolio_data!F40,portfolio_data!$K$7:$L$19,2,0),"")&amp;" "&amp;IFERROR(VLOOKUP(portfolio_data!G40,portfolio_data!$K$7:$L$19,2,0),"")&amp;" "&amp;IFERROR(VLOOKUP(portfolio_data!H40,portfolio_data!$K$7:$L$19,2,0),"")</f>
        <v xml:space="preserve">state_KY funds2 business_B2C industry_entertainment industry_apps </v>
      </c>
      <c r="F25" t="s">
        <v>99</v>
      </c>
      <c r="I25" t="str">
        <f t="shared" si="3"/>
        <v>{url: "http://www.completeset.com/?ref=M25", class: "state_KY funds2 business_B2C industry_entertainment industry_apps " ,img: "CompleteSet"},</v>
      </c>
      <c r="Q25" s="2"/>
    </row>
    <row r="26" spans="1:17">
      <c r="A26" s="8">
        <f>portfolio_data!B41</f>
        <v>42856</v>
      </c>
      <c r="B26" t="s">
        <v>100</v>
      </c>
      <c r="C26" t="s">
        <v>209</v>
      </c>
      <c r="D26" t="str">
        <f t="shared" si="2"/>
        <v>http://www.rentalutions.com/?ref=M25</v>
      </c>
      <c r="E26" t="str">
        <f>"state_"&amp;portfolio_data!C41&amp;" "&amp;portfolio_data!D41&amp;" "&amp;VLOOKUP(portfolio_data!E41,portfolio_data!$K$2:$L$4,2,0)&amp;" "&amp;IFERROR(VLOOKUP(portfolio_data!F41,portfolio_data!$K$7:$L$19,2,0),"")&amp;" "&amp;IFERROR(VLOOKUP(portfolio_data!G41,portfolio_data!$K$7:$L$19,2,0),"")&amp;" "&amp;IFERROR(VLOOKUP(portfolio_data!H41,portfolio_data!$K$7:$L$19,2,0),"")</f>
        <v xml:space="preserve">state_IL funds2 business_B2B business_B2C industry_realestate  </v>
      </c>
      <c r="F26" t="s">
        <v>100</v>
      </c>
      <c r="I26" t="str">
        <f t="shared" si="3"/>
        <v>{url: "http://www.rentalutions.com/?ref=M25", class: "state_IL funds2 business_B2B business_B2C industry_realestate  " ,img: "Rentalutions"},</v>
      </c>
      <c r="Q26" s="2"/>
    </row>
    <row r="27" spans="1:17">
      <c r="A27" s="8">
        <f>portfolio_data!B42</f>
        <v>42856</v>
      </c>
      <c r="B27" t="s">
        <v>101</v>
      </c>
      <c r="C27" t="s">
        <v>210</v>
      </c>
      <c r="D27" t="str">
        <f t="shared" si="2"/>
        <v>http://www.scriptdrop.co/?ref=M25</v>
      </c>
      <c r="E27" t="str">
        <f>"state_"&amp;portfolio_data!C42&amp;" "&amp;portfolio_data!D42&amp;" "&amp;VLOOKUP(portfolio_data!E42,portfolio_data!$K$2:$L$4,2,0)&amp;" "&amp;IFERROR(VLOOKUP(portfolio_data!F42,portfolio_data!$K$7:$L$19,2,0),"")&amp;" "&amp;IFERROR(VLOOKUP(portfolio_data!G42,portfolio_data!$K$7:$L$19,2,0),"")&amp;" "&amp;IFERROR(VLOOKUP(portfolio_data!H42,portfolio_data!$K$7:$L$19,2,0),"")</f>
        <v xml:space="preserve">state_OH funds2 business_B2B industry_healthcare  </v>
      </c>
      <c r="F27" t="s">
        <v>101</v>
      </c>
      <c r="I27" t="str">
        <f t="shared" si="3"/>
        <v>{url: "http://www.scriptdrop.co/?ref=M25", class: "state_OH funds2 business_B2B industry_healthcare  " ,img: "ScriptDrop"},</v>
      </c>
    </row>
    <row r="28" spans="1:17">
      <c r="A28" s="8">
        <f>portfolio_data!B37</f>
        <v>42767</v>
      </c>
      <c r="B28" t="s">
        <v>96</v>
      </c>
      <c r="C28" t="s">
        <v>205</v>
      </c>
      <c r="D28" t="str">
        <f t="shared" si="2"/>
        <v>https://andcostello.com/?ref=M25</v>
      </c>
      <c r="E28" t="str">
        <f>"state_"&amp;portfolio_data!C37&amp;" "&amp;portfolio_data!D37&amp;" "&amp;VLOOKUP(portfolio_data!E37,portfolio_data!$K$2:$L$4,2,0)&amp;" "&amp;IFERROR(VLOOKUP(portfolio_data!F37,portfolio_data!$K$7:$L$19,2,0),"")&amp;" "&amp;IFERROR(VLOOKUP(portfolio_data!G37,portfolio_data!$K$7:$L$19,2,0),"")&amp;" "&amp;IFERROR(VLOOKUP(portfolio_data!H37,portfolio_data!$K$7:$L$19,2,0),"")</f>
        <v xml:space="preserve">state_IN funds2 business_B2B  industry_enterprise </v>
      </c>
      <c r="F28" t="s">
        <v>240</v>
      </c>
      <c r="I28" t="str">
        <f t="shared" si="3"/>
        <v>{url: "https://andcostello.com/?ref=M25", class: "state_IN funds2 business_B2B  industry_enterprise " ,img: "Costello"},</v>
      </c>
    </row>
    <row r="29" spans="1:17">
      <c r="A29" s="8">
        <f>portfolio_data!B38</f>
        <v>42767</v>
      </c>
      <c r="B29" t="s">
        <v>97</v>
      </c>
      <c r="C29" t="s">
        <v>206</v>
      </c>
      <c r="D29" t="str">
        <f t="shared" si="2"/>
        <v>https://www.astronomer.io/?ref=M25</v>
      </c>
      <c r="E29" t="str">
        <f>"state_"&amp;portfolio_data!C38&amp;" "&amp;portfolio_data!D38&amp;" "&amp;VLOOKUP(portfolio_data!E38,portfolio_data!$K$2:$L$4,2,0)&amp;" "&amp;IFERROR(VLOOKUP(portfolio_data!F38,portfolio_data!$K$7:$L$19,2,0),"")&amp;" "&amp;IFERROR(VLOOKUP(portfolio_data!G38,portfolio_data!$K$7:$L$19,2,0),"")&amp;" "&amp;IFERROR(VLOOKUP(portfolio_data!H38,portfolio_data!$K$7:$L$19,2,0),"")</f>
        <v xml:space="preserve">state_OH funds2 business_B2B industry_analytics industry_enterprise </v>
      </c>
      <c r="F29" t="s">
        <v>97</v>
      </c>
      <c r="I29" t="str">
        <f t="shared" si="3"/>
        <v>{url: "https://www.astronomer.io/?ref=M25", class: "state_OH funds2 business_B2B industry_analytics industry_enterprise " ,img: "Astronomer"},</v>
      </c>
    </row>
    <row r="30" spans="1:17">
      <c r="A30" s="8">
        <f>portfolio_data!B39</f>
        <v>42767</v>
      </c>
      <c r="B30" t="s">
        <v>98</v>
      </c>
      <c r="C30" t="s">
        <v>207</v>
      </c>
      <c r="D30" t="str">
        <f t="shared" si="2"/>
        <v>http://familytech.com/?ref=M25</v>
      </c>
      <c r="E30" t="str">
        <f>"state_"&amp;portfolio_data!C39&amp;" "&amp;portfolio_data!D39&amp;" "&amp;VLOOKUP(portfolio_data!E39,portfolio_data!$K$2:$L$4,2,0)&amp;" "&amp;IFERROR(VLOOKUP(portfolio_data!F39,portfolio_data!$K$7:$L$19,2,0),"")&amp;" "&amp;IFERROR(VLOOKUP(portfolio_data!G39,portfolio_data!$K$7:$L$19,2,0),"")&amp;" "&amp;IFERROR(VLOOKUP(portfolio_data!H39,portfolio_data!$K$7:$L$19,2,0),"")</f>
        <v xml:space="preserve">state_OH funds2 business_B2C industry_apps  </v>
      </c>
      <c r="F30" t="s">
        <v>241</v>
      </c>
      <c r="I30" t="str">
        <f t="shared" si="3"/>
        <v>{url: "http://familytech.com/?ref=M25", class: "state_OH funds2 business_B2C industry_apps  " ,img: "FamilyTech"},</v>
      </c>
    </row>
    <row r="31" spans="1:17">
      <c r="A31" s="8">
        <f>portfolio_data!B36</f>
        <v>42736</v>
      </c>
      <c r="B31" t="s">
        <v>95</v>
      </c>
      <c r="C31" t="s">
        <v>204</v>
      </c>
      <c r="D31" t="str">
        <f t="shared" si="2"/>
        <v>http://www.petronics.io/?ref=M25</v>
      </c>
      <c r="E31" t="str">
        <f>"state_"&amp;portfolio_data!C36&amp;" "&amp;portfolio_data!D36&amp;" "&amp;VLOOKUP(portfolio_data!E36,portfolio_data!$K$2:$L$4,2,0)&amp;" "&amp;IFERROR(VLOOKUP(portfolio_data!F36,portfolio_data!$K$7:$L$19,2,0),"")&amp;" "&amp;IFERROR(VLOOKUP(portfolio_data!G36,portfolio_data!$K$7:$L$19,2,0),"")&amp;" "&amp;IFERROR(VLOOKUP(portfolio_data!H36,portfolio_data!$K$7:$L$19,2,0),"")</f>
        <v xml:space="preserve">state_IL funds2 business_B2C  industry_analytics </v>
      </c>
      <c r="F31" t="s">
        <v>239</v>
      </c>
      <c r="I31" t="str">
        <f t="shared" si="3"/>
        <v>{url: "http://www.petronics.io/?ref=M25", class: "state_IL funds2 business_B2C  industry_analytics " ,img: "Petronics"},</v>
      </c>
    </row>
    <row r="32" spans="1:17">
      <c r="A32" s="8">
        <f>portfolio_data!B32</f>
        <v>42675</v>
      </c>
      <c r="B32" t="s">
        <v>91</v>
      </c>
      <c r="C32" t="s">
        <v>200</v>
      </c>
      <c r="D32" t="str">
        <f t="shared" si="2"/>
        <v>https://www.chowlyinc.com/?ref=M25</v>
      </c>
      <c r="E32" t="str">
        <f>"state_"&amp;portfolio_data!C32&amp;" "&amp;portfolio_data!D32&amp;" "&amp;VLOOKUP(portfolio_data!E32,portfolio_data!$K$2:$L$4,2,0)&amp;" "&amp;IFERROR(VLOOKUP(portfolio_data!F32,portfolio_data!$K$7:$L$19,2,0),"")&amp;" "&amp;IFERROR(VLOOKUP(portfolio_data!G32,portfolio_data!$K$7:$L$19,2,0),"")&amp;" "&amp;IFERROR(VLOOKUP(portfolio_data!H32,portfolio_data!$K$7:$L$19,2,0),"")</f>
        <v xml:space="preserve">state_IL funds2 business_B2B industry_food  </v>
      </c>
      <c r="F32" t="s">
        <v>91</v>
      </c>
      <c r="I32" t="str">
        <f t="shared" si="3"/>
        <v>{url: "https://www.chowlyinc.com/?ref=M25", class: "state_IL funds2 business_B2B industry_food  " ,img: "Chowly"},</v>
      </c>
    </row>
    <row r="33" spans="1:9">
      <c r="A33" s="8">
        <f>portfolio_data!B33</f>
        <v>42675</v>
      </c>
      <c r="B33" t="s">
        <v>92</v>
      </c>
      <c r="C33" t="s">
        <v>201</v>
      </c>
      <c r="D33" t="str">
        <f t="shared" si="2"/>
        <v>https://anglr.com/?ref=M25</v>
      </c>
      <c r="E33" t="str">
        <f>"state_"&amp;portfolio_data!C33&amp;" "&amp;portfolio_data!D33&amp;" "&amp;VLOOKUP(portfolio_data!E33,portfolio_data!$K$2:$L$4,2,0)&amp;" "&amp;IFERROR(VLOOKUP(portfolio_data!F33,portfolio_data!$K$7:$L$19,2,0),"")&amp;" "&amp;IFERROR(VLOOKUP(portfolio_data!G33,portfolio_data!$K$7:$L$19,2,0),"")&amp;" "&amp;IFERROR(VLOOKUP(portfolio_data!H33,portfolio_data!$K$7:$L$19,2,0),"")</f>
        <v xml:space="preserve">state_PA funds2 business_B2C industry_entertainment industry_apps </v>
      </c>
      <c r="F33" t="s">
        <v>92</v>
      </c>
      <c r="I33" t="str">
        <f t="shared" si="3"/>
        <v>{url: "https://anglr.com/?ref=M25", class: "state_PA funds2 business_B2C industry_entertainment industry_apps " ,img: "ANGLR"},</v>
      </c>
    </row>
    <row r="34" spans="1:9">
      <c r="A34" s="8">
        <f>portfolio_data!B34</f>
        <v>42675</v>
      </c>
      <c r="B34" t="s">
        <v>93</v>
      </c>
      <c r="C34" t="s">
        <v>202</v>
      </c>
      <c r="D34" t="str">
        <f t="shared" si="2"/>
        <v>https://cladwell.com/?ref=M25</v>
      </c>
      <c r="E34" t="str">
        <f>"state_"&amp;portfolio_data!C34&amp;" "&amp;portfolio_data!D34&amp;" "&amp;VLOOKUP(portfolio_data!E34,portfolio_data!$K$2:$L$4,2,0)&amp;" "&amp;IFERROR(VLOOKUP(portfolio_data!F34,portfolio_data!$K$7:$L$19,2,0),"")&amp;" "&amp;IFERROR(VLOOKUP(portfolio_data!G34,portfolio_data!$K$7:$L$19,2,0),"")&amp;" "&amp;IFERROR(VLOOKUP(portfolio_data!H34,portfolio_data!$K$7:$L$19,2,0),"")</f>
        <v xml:space="preserve">state_OH funds2 business_B2C industry_ecommerce industry_apps </v>
      </c>
      <c r="F34" t="s">
        <v>93</v>
      </c>
      <c r="I34" t="str">
        <f t="shared" si="3"/>
        <v>{url: "https://cladwell.com/?ref=M25", class: "state_OH funds2 business_B2C industry_ecommerce industry_apps " ,img: "Cladwell"},</v>
      </c>
    </row>
    <row r="35" spans="1:9">
      <c r="A35" s="8">
        <f>portfolio_data!B35</f>
        <v>42675</v>
      </c>
      <c r="B35" t="s">
        <v>94</v>
      </c>
      <c r="C35" t="s">
        <v>203</v>
      </c>
      <c r="D35" t="str">
        <f t="shared" si="2"/>
        <v>http://www.branchmessenger.com/?ref=M25</v>
      </c>
      <c r="E35" t="str">
        <f>"state_"&amp;portfolio_data!C35&amp;" "&amp;portfolio_data!D35&amp;" "&amp;VLOOKUP(portfolio_data!E35,portfolio_data!$K$2:$L$4,2,0)&amp;" "&amp;IFERROR(VLOOKUP(portfolio_data!F35,portfolio_data!$K$7:$L$19,2,0),"")&amp;" "&amp;IFERROR(VLOOKUP(portfolio_data!G35,portfolio_data!$K$7:$L$19,2,0),"")&amp;" "&amp;IFERROR(VLOOKUP(portfolio_data!H35,portfolio_data!$K$7:$L$19,2,0),"")</f>
        <v xml:space="preserve">state_MN funds2 business_B2B business_B2C industry_enterprise  </v>
      </c>
      <c r="F35" t="s">
        <v>238</v>
      </c>
      <c r="I35" t="str">
        <f t="shared" si="3"/>
        <v>{url: "http://www.branchmessenger.com/?ref=M25", class: "state_MN funds2 business_B2B business_B2C industry_enterprise  " ,img: "BranchMessenger"},</v>
      </c>
    </row>
    <row r="36" spans="1:9">
      <c r="A36" s="8">
        <f>portfolio_data!B28</f>
        <v>42644</v>
      </c>
      <c r="B36" t="s">
        <v>87</v>
      </c>
      <c r="C36" t="s">
        <v>196</v>
      </c>
      <c r="D36" t="str">
        <f t="shared" si="2"/>
        <v>http://www.knowledgehound.com/?ref=M25</v>
      </c>
      <c r="E36" t="str">
        <f>"state_"&amp;portfolio_data!C28&amp;" "&amp;portfolio_data!D28&amp;" "&amp;VLOOKUP(portfolio_data!E28,portfolio_data!$K$2:$L$4,2,0)&amp;" "&amp;IFERROR(VLOOKUP(portfolio_data!F28,portfolio_data!$K$7:$L$19,2,0),"")&amp;" "&amp;IFERROR(VLOOKUP(portfolio_data!G28,portfolio_data!$K$7:$L$19,2,0),"")&amp;" "&amp;IFERROR(VLOOKUP(portfolio_data!H28,portfolio_data!$K$7:$L$19,2,0),"")</f>
        <v>state_IL funds2 business_B2B industry_analytics  industry_enterprise</v>
      </c>
      <c r="F36" t="s">
        <v>87</v>
      </c>
      <c r="I36" t="str">
        <f t="shared" si="3"/>
        <v>{url: "http://www.knowledgehound.com/?ref=M25", class: "state_IL funds2 business_B2B industry_analytics  industry_enterprise" ,img: "KnowledgeHound"},</v>
      </c>
    </row>
    <row r="37" spans="1:9">
      <c r="A37" s="8">
        <f>portfolio_data!B29</f>
        <v>42644</v>
      </c>
      <c r="B37" t="s">
        <v>88</v>
      </c>
      <c r="C37" t="s">
        <v>197</v>
      </c>
      <c r="D37" t="str">
        <f t="shared" si="2"/>
        <v>https://www.rewards21.com/?ref=M25</v>
      </c>
      <c r="E37" t="str">
        <f>"state_"&amp;portfolio_data!C29&amp;" "&amp;portfolio_data!D29&amp;" "&amp;VLOOKUP(portfolio_data!E29,portfolio_data!$K$2:$L$4,2,0)&amp;" "&amp;IFERROR(VLOOKUP(portfolio_data!F29,portfolio_data!$K$7:$L$19,2,0),"")&amp;" "&amp;IFERROR(VLOOKUP(portfolio_data!G29,portfolio_data!$K$7:$L$19,2,0),"")&amp;" "&amp;IFERROR(VLOOKUP(portfolio_data!H29,portfolio_data!$K$7:$L$19,2,0),"")</f>
        <v xml:space="preserve">state_IL funds2 business_B2B business_B2C industry_ecommerce industry_marketing </v>
      </c>
      <c r="F37" t="s">
        <v>88</v>
      </c>
      <c r="I37" t="str">
        <f t="shared" si="3"/>
        <v>{url: "https://www.rewards21.com/?ref=M25", class: "state_IL funds2 business_B2B business_B2C industry_ecommerce industry_marketing " ,img: "Rewards21"},</v>
      </c>
    </row>
    <row r="38" spans="1:9">
      <c r="A38" s="8">
        <f>portfolio_data!B30</f>
        <v>42644</v>
      </c>
      <c r="B38" t="s">
        <v>89</v>
      </c>
      <c r="C38" t="s">
        <v>198</v>
      </c>
      <c r="D38" t="str">
        <f t="shared" si="2"/>
        <v>http://www.printwithme.com/?ref=M25</v>
      </c>
      <c r="E38" t="str">
        <f>"state_"&amp;portfolio_data!C30&amp;" "&amp;portfolio_data!D30&amp;" "&amp;VLOOKUP(portfolio_data!E30,portfolio_data!$K$2:$L$4,2,0)&amp;" "&amp;IFERROR(VLOOKUP(portfolio_data!F30,portfolio_data!$K$7:$L$19,2,0),"")&amp;" "&amp;IFERROR(VLOOKUP(portfolio_data!G30,portfolio_data!$K$7:$L$19,2,0),"")&amp;" "&amp;IFERROR(VLOOKUP(portfolio_data!H30,portfolio_data!$K$7:$L$19,2,0),"")</f>
        <v xml:space="preserve">state_IL funds2 business_B2C industry_other  </v>
      </c>
      <c r="F38" t="s">
        <v>89</v>
      </c>
      <c r="I38" t="str">
        <f t="shared" si="3"/>
        <v>{url: "http://www.printwithme.com/?ref=M25", class: "state_IL funds2 business_B2C industry_other  " ,img: "PrintWithMe"},</v>
      </c>
    </row>
    <row r="39" spans="1:9">
      <c r="A39" s="8">
        <f>portfolio_data!B31</f>
        <v>42644</v>
      </c>
      <c r="B39" t="s">
        <v>90</v>
      </c>
      <c r="C39" t="s">
        <v>199</v>
      </c>
      <c r="D39" t="str">
        <f t="shared" si="2"/>
        <v>http://spatial.ai/?ref=M25</v>
      </c>
      <c r="E39" t="str">
        <f>"state_"&amp;portfolio_data!C31&amp;" "&amp;portfolio_data!D31&amp;" "&amp;VLOOKUP(portfolio_data!E31,portfolio_data!$K$2:$L$4,2,0)&amp;" "&amp;IFERROR(VLOOKUP(portfolio_data!F31,portfolio_data!$K$7:$L$19,2,0),"")&amp;" "&amp;IFERROR(VLOOKUP(portfolio_data!G31,portfolio_data!$K$7:$L$19,2,0),"")&amp;" "&amp;IFERROR(VLOOKUP(portfolio_data!H31,portfolio_data!$K$7:$L$19,2,0),"")</f>
        <v>state_OH funds2 business_B2B industry_realestate industry_transportation industry_analytics</v>
      </c>
      <c r="F39" t="s">
        <v>90</v>
      </c>
      <c r="I39" t="str">
        <f t="shared" si="3"/>
        <v>{url: "http://spatial.ai/?ref=M25", class: "state_OH funds2 business_B2B industry_realestate industry_transportation industry_analytics" ,img: "Spatial"},</v>
      </c>
    </row>
    <row r="40" spans="1:9">
      <c r="A40" s="8">
        <f>portfolio_data!B27</f>
        <v>42614</v>
      </c>
      <c r="B40" t="s">
        <v>86</v>
      </c>
      <c r="C40" t="s">
        <v>195</v>
      </c>
      <c r="D40" t="str">
        <f t="shared" si="2"/>
        <v>https://realync.com/?ref=M25</v>
      </c>
      <c r="E40" t="str">
        <f>"state_"&amp;portfolio_data!C27&amp;" "&amp;portfolio_data!D27&amp;" "&amp;VLOOKUP(portfolio_data!E27,portfolio_data!$K$2:$L$4,2,0)&amp;" "&amp;IFERROR(VLOOKUP(portfolio_data!F27,portfolio_data!$K$7:$L$19,2,0),"")&amp;" "&amp;IFERROR(VLOOKUP(portfolio_data!G27,portfolio_data!$K$7:$L$19,2,0),"")&amp;" "&amp;IFERROR(VLOOKUP(portfolio_data!H27,portfolio_data!$K$7:$L$19,2,0),"")</f>
        <v xml:space="preserve">state_IN funds2 business_B2B industry_realestate  </v>
      </c>
      <c r="F40" t="s">
        <v>86</v>
      </c>
      <c r="I40" t="str">
        <f t="shared" si="3"/>
        <v>{url: "https://realync.com/?ref=M25", class: "state_IN funds2 business_B2B industry_realestate  " ,img: "Realync"},</v>
      </c>
    </row>
    <row r="41" spans="1:9">
      <c r="A41" s="8">
        <f>portfolio_data!B17</f>
        <v>42583</v>
      </c>
      <c r="B41" t="s">
        <v>77</v>
      </c>
      <c r="C41" t="s">
        <v>186</v>
      </c>
      <c r="D41" t="str">
        <f t="shared" si="2"/>
        <v>https://www.pactsafe.com/?ref=M25</v>
      </c>
      <c r="E41" t="str">
        <f>"state_"&amp;portfolio_data!C17&amp;" "&amp;portfolio_data!D17&amp;" "&amp;VLOOKUP(portfolio_data!E17,portfolio_data!$K$2:$L$4,2,0)&amp;" "&amp;IFERROR(VLOOKUP(portfolio_data!F17,portfolio_data!$K$7:$L$19,2,0),"")&amp;" "&amp;IFERROR(VLOOKUP(portfolio_data!G17,portfolio_data!$K$7:$L$19,2,0),"")&amp;" "&amp;IFERROR(VLOOKUP(portfolio_data!H17,portfolio_data!$K$7:$L$19,2,0),"")</f>
        <v>state_IN funds1 business_B2B industry_education  industry_enterprise</v>
      </c>
      <c r="F41" t="s">
        <v>77</v>
      </c>
      <c r="I41" t="str">
        <f t="shared" si="3"/>
        <v>{url: "https://www.pactsafe.com/?ref=M25", class: "state_IN funds1 business_B2B industry_education  industry_enterprise" ,img: "PactSafe"},</v>
      </c>
    </row>
    <row r="42" spans="1:9">
      <c r="A42" s="8">
        <f>portfolio_data!B26</f>
        <v>42583</v>
      </c>
      <c r="B42" t="s">
        <v>85</v>
      </c>
      <c r="C42" t="s">
        <v>194</v>
      </c>
      <c r="D42" t="str">
        <f t="shared" si="2"/>
        <v>http://explorersurgical.com/?ref=M25</v>
      </c>
      <c r="E42" t="str">
        <f>"state_"&amp;portfolio_data!C26&amp;" "&amp;portfolio_data!D26&amp;" "&amp;VLOOKUP(portfolio_data!E26,portfolio_data!$K$2:$L$4,2,0)&amp;" "&amp;IFERROR(VLOOKUP(portfolio_data!F26,portfolio_data!$K$7:$L$19,2,0),"")&amp;" "&amp;IFERROR(VLOOKUP(portfolio_data!G26,portfolio_data!$K$7:$L$19,2,0),"")&amp;" "&amp;IFERROR(VLOOKUP(portfolio_data!H26,portfolio_data!$K$7:$L$19,2,0),"")</f>
        <v xml:space="preserve">state_IL funds2 business_B2B industry_healthcare  </v>
      </c>
      <c r="F42" t="s">
        <v>237</v>
      </c>
      <c r="I42" t="str">
        <f t="shared" si="3"/>
        <v>{url: "http://explorersurgical.com/?ref=M25", class: "state_IL funds2 business_B2B industry_healthcare  " ,img: "ExplORerSurgical"},</v>
      </c>
    </row>
    <row r="43" spans="1:9">
      <c r="A43" s="8">
        <f>portfolio_data!B4</f>
        <v>42552</v>
      </c>
      <c r="B43" t="s">
        <v>64</v>
      </c>
      <c r="C43" t="s">
        <v>173</v>
      </c>
      <c r="D43" t="str">
        <f t="shared" si="2"/>
        <v>http://www.ballotready.org/?ref=M25</v>
      </c>
      <c r="E43" t="str">
        <f>"state_"&amp;portfolio_data!C4&amp;" "&amp;portfolio_data!D4&amp;" "&amp;VLOOKUP(portfolio_data!E4,portfolio_data!$K$2:$L$4,2,0)&amp;" "&amp;IFERROR(VLOOKUP(portfolio_data!F4,portfolio_data!$K$7:$L$19,2,0),"")&amp;" "&amp;IFERROR(VLOOKUP(portfolio_data!G4,portfolio_data!$K$7:$L$19,2,0),"")&amp;" "&amp;IFERROR(VLOOKUP(portfolio_data!H4,portfolio_data!$K$7:$L$19,2,0),"")</f>
        <v xml:space="preserve">state_IL funds1 business_B2B business_B2C industry_education industry_analytics </v>
      </c>
      <c r="F43" t="s">
        <v>64</v>
      </c>
      <c r="I43" t="str">
        <f t="shared" si="3"/>
        <v>{url: "http://www.ballotready.org/?ref=M25", class: "state_IL funds1 business_B2B business_B2C industry_education industry_analytics " ,img: "BallotReady"},</v>
      </c>
    </row>
    <row r="44" spans="1:9">
      <c r="A44" s="8">
        <f>portfolio_data!B25</f>
        <v>42552</v>
      </c>
      <c r="B44" t="s">
        <v>84</v>
      </c>
      <c r="C44" t="s">
        <v>193</v>
      </c>
      <c r="D44" t="str">
        <f t="shared" si="2"/>
        <v>https://sportsmantracker.com/?ref=M25</v>
      </c>
      <c r="E44" t="str">
        <f>"state_"&amp;portfolio_data!C25&amp;" "&amp;portfolio_data!D25&amp;" "&amp;VLOOKUP(portfolio_data!E25,portfolio_data!$K$2:$L$4,2,0)&amp;" "&amp;IFERROR(VLOOKUP(portfolio_data!F25,portfolio_data!$K$7:$L$19,2,0),"")&amp;" "&amp;IFERROR(VLOOKUP(portfolio_data!G25,portfolio_data!$K$7:$L$19,2,0),"")&amp;" "&amp;IFERROR(VLOOKUP(portfolio_data!H25,portfolio_data!$K$7:$L$19,2,0),"")</f>
        <v xml:space="preserve">state_MI funds2 business_B2C industry_entertainment industry_apps </v>
      </c>
      <c r="F44" t="s">
        <v>236</v>
      </c>
      <c r="I44" t="str">
        <f t="shared" si="3"/>
        <v>{url: "https://sportsmantracker.com/?ref=M25", class: "state_MI funds2 business_B2C industry_entertainment industry_apps " ,img: "SportsmanTracker"},</v>
      </c>
    </row>
    <row r="45" spans="1:9">
      <c r="A45" s="8">
        <f>portfolio_data!B9</f>
        <v>42522</v>
      </c>
      <c r="B45" t="s">
        <v>69</v>
      </c>
      <c r="C45" t="s">
        <v>178</v>
      </c>
      <c r="D45" t="str">
        <f t="shared" si="2"/>
        <v>https://www.dattus.com/?ref=M25</v>
      </c>
      <c r="E45" t="str">
        <f>"state_"&amp;portfolio_data!C9&amp;" "&amp;portfolio_data!D9&amp;" "&amp;VLOOKUP(portfolio_data!E9,portfolio_data!$K$2:$L$4,2,0)&amp;" "&amp;IFERROR(VLOOKUP(portfolio_data!F9,portfolio_data!$K$7:$L$19,2,0),"")&amp;" "&amp;IFERROR(VLOOKUP(portfolio_data!G9,portfolio_data!$K$7:$L$19,2,0),"")&amp;" "&amp;IFERROR(VLOOKUP(portfolio_data!H9,portfolio_data!$K$7:$L$19,2,0),"")</f>
        <v xml:space="preserve">state_IN funds1 business_B2B industry_analytics  </v>
      </c>
      <c r="F45" t="s">
        <v>69</v>
      </c>
      <c r="I45" t="str">
        <f t="shared" si="3"/>
        <v>{url: "https://www.dattus.com/?ref=M25", class: "state_IN funds1 business_B2B industry_analytics  " ,img: "Dattus"},</v>
      </c>
    </row>
    <row r="46" spans="1:9">
      <c r="A46" s="8">
        <f>portfolio_data!B14</f>
        <v>42522</v>
      </c>
      <c r="B46" t="s">
        <v>74</v>
      </c>
      <c r="C46" t="s">
        <v>183</v>
      </c>
      <c r="D46" t="str">
        <f t="shared" si="2"/>
        <v>http://www.lunalights.org/?ref=M25</v>
      </c>
      <c r="E46" t="str">
        <f>"state_"&amp;portfolio_data!C14&amp;" "&amp;portfolio_data!D14&amp;" "&amp;VLOOKUP(portfolio_data!E14,portfolio_data!$K$2:$L$4,2,0)&amp;" "&amp;IFERROR(VLOOKUP(portfolio_data!F14,portfolio_data!$K$7:$L$19,2,0),"")&amp;" "&amp;IFERROR(VLOOKUP(portfolio_data!G14,portfolio_data!$K$7:$L$19,2,0),"")&amp;" "&amp;IFERROR(VLOOKUP(portfolio_data!H14,portfolio_data!$K$7:$L$19,2,0),"")</f>
        <v xml:space="preserve">state_IL funds1 business_B2B industry_healthcare industry_analytics </v>
      </c>
      <c r="F46" t="s">
        <v>232</v>
      </c>
      <c r="I46" t="str">
        <f t="shared" si="3"/>
        <v>{url: "http://www.lunalights.org/?ref=M25", class: "state_IL funds1 business_B2B industry_healthcare industry_analytics " ,img: "LunaLights"},</v>
      </c>
    </row>
    <row r="47" spans="1:9">
      <c r="A47" s="8">
        <f>portfolio_data!B7</f>
        <v>42491</v>
      </c>
      <c r="B47" t="s">
        <v>67</v>
      </c>
      <c r="C47" t="s">
        <v>176</v>
      </c>
      <c r="D47" t="str">
        <f t="shared" si="2"/>
        <v>http://conceptdrop.com/?ref=M25</v>
      </c>
      <c r="E47" t="str">
        <f>"state_"&amp;portfolio_data!C7&amp;" "&amp;portfolio_data!D7&amp;" "&amp;VLOOKUP(portfolio_data!E7,portfolio_data!$K$2:$L$4,2,0)&amp;" "&amp;IFERROR(VLOOKUP(portfolio_data!F7,portfolio_data!$K$7:$L$19,2,0),"")&amp;" "&amp;IFERROR(VLOOKUP(portfolio_data!G7,portfolio_data!$K$7:$L$19,2,0),"")&amp;" "&amp;IFERROR(VLOOKUP(portfolio_data!H7,portfolio_data!$K$7:$L$19,2,0),"")</f>
        <v>state_IL funds1 business_B2B business_B2C industry_marketing  industry_enterprise</v>
      </c>
      <c r="F47" t="s">
        <v>67</v>
      </c>
      <c r="I47" t="str">
        <f t="shared" si="3"/>
        <v>{url: "http://conceptdrop.com/?ref=M25", class: "state_IL funds1 business_B2B business_B2C industry_marketing  industry_enterprise" ,img: "ConceptDrop"},</v>
      </c>
    </row>
    <row r="48" spans="1:9">
      <c r="A48" s="8">
        <f>portfolio_data!B13</f>
        <v>42491</v>
      </c>
      <c r="B48" t="s">
        <v>73</v>
      </c>
      <c r="C48" t="s">
        <v>182</v>
      </c>
      <c r="D48" t="str">
        <f t="shared" si="2"/>
        <v>http://jetpackworkflow.com/?ref=M25</v>
      </c>
      <c r="E48" t="str">
        <f>"state_"&amp;portfolio_data!C13&amp;" "&amp;portfolio_data!D13&amp;" "&amp;VLOOKUP(portfolio_data!E13,portfolio_data!$K$2:$L$4,2,0)&amp;" "&amp;IFERROR(VLOOKUP(portfolio_data!F13,portfolio_data!$K$7:$L$19,2,0),"")&amp;" "&amp;IFERROR(VLOOKUP(portfolio_data!G13,portfolio_data!$K$7:$L$19,2,0),"")&amp;" "&amp;IFERROR(VLOOKUP(portfolio_data!H13,portfolio_data!$K$7:$L$19,2,0),"")</f>
        <v>state_PA funds1 business_B2B   industry_enterprise</v>
      </c>
      <c r="F48" t="s">
        <v>231</v>
      </c>
      <c r="I48" t="str">
        <f t="shared" si="3"/>
        <v>{url: "http://jetpackworkflow.com/?ref=M25", class: "state_PA funds1 business_B2B   industry_enterprise" ,img: "JetPackWorkflow"},</v>
      </c>
    </row>
    <row r="49" spans="1:9">
      <c r="A49" s="8">
        <f>portfolio_data!B18</f>
        <v>42491</v>
      </c>
      <c r="B49" t="s">
        <v>78</v>
      </c>
      <c r="C49" t="s">
        <v>187</v>
      </c>
      <c r="D49" t="str">
        <f t="shared" si="2"/>
        <v>https://www.page-vault.com/?ref=M25</v>
      </c>
      <c r="E49" t="str">
        <f>"state_"&amp;portfolio_data!C18&amp;" "&amp;portfolio_data!D18&amp;" "&amp;VLOOKUP(portfolio_data!E18,portfolio_data!$K$2:$L$4,2,0)&amp;" "&amp;IFERROR(VLOOKUP(portfolio_data!F18,portfolio_data!$K$7:$L$19,2,0),"")&amp;" "&amp;IFERROR(VLOOKUP(portfolio_data!G18,portfolio_data!$K$7:$L$19,2,0),"")&amp;" "&amp;IFERROR(VLOOKUP(portfolio_data!H18,portfolio_data!$K$7:$L$19,2,0),"")</f>
        <v>state_IL funds1 business_B2B industry_education  industry_enterprise</v>
      </c>
      <c r="F49" t="s">
        <v>235</v>
      </c>
      <c r="I49" t="str">
        <f t="shared" si="3"/>
        <v>{url: "https://www.page-vault.com/?ref=M25", class: "state_IL funds1 business_B2B industry_education  industry_enterprise" ,img: "PageVault"},</v>
      </c>
    </row>
    <row r="50" spans="1:9">
      <c r="A50" s="8">
        <f>portfolio_data!B5</f>
        <v>42461</v>
      </c>
      <c r="B50" t="s">
        <v>65</v>
      </c>
      <c r="C50" t="s">
        <v>174</v>
      </c>
      <c r="D50" t="str">
        <f t="shared" si="2"/>
        <v>http://www.blocksixanalytics.com/?ref=M25</v>
      </c>
      <c r="E50" t="str">
        <f>"state_"&amp;portfolio_data!C5&amp;" "&amp;portfolio_data!D5&amp;" "&amp;VLOOKUP(portfolio_data!E5,portfolio_data!$K$2:$L$4,2,0)&amp;" "&amp;IFERROR(VLOOKUP(portfolio_data!F5,portfolio_data!$K$7:$L$19,2,0),"")&amp;" "&amp;IFERROR(VLOOKUP(portfolio_data!G5,portfolio_data!$K$7:$L$19,2,0),"")&amp;" "&amp;IFERROR(VLOOKUP(portfolio_data!H5,portfolio_data!$K$7:$L$19,2,0),"")</f>
        <v xml:space="preserve">state_IL funds1 business_B2B industry_entertainment industry_analytics </v>
      </c>
      <c r="F50" t="s">
        <v>170</v>
      </c>
      <c r="I50" t="str">
        <f t="shared" si="3"/>
        <v>{url: "http://www.blocksixanalytics.com/?ref=M25", class: "state_IL funds1 business_B2B industry_entertainment industry_analytics " ,img: "BlockSixAnalytics"},</v>
      </c>
    </row>
    <row r="51" spans="1:9">
      <c r="A51" s="8">
        <f>portfolio_data!B19</f>
        <v>42461</v>
      </c>
      <c r="B51" t="s">
        <v>79</v>
      </c>
      <c r="C51" t="s">
        <v>188</v>
      </c>
      <c r="D51" t="str">
        <f t="shared" si="2"/>
        <v>https://regrouptherapy.com/?ref=M25</v>
      </c>
      <c r="E51" t="str">
        <f>"state_"&amp;portfolio_data!C19&amp;" "&amp;portfolio_data!D19&amp;" "&amp;VLOOKUP(portfolio_data!E19,portfolio_data!$K$2:$L$4,2,0)&amp;" "&amp;IFERROR(VLOOKUP(portfolio_data!F19,portfolio_data!$K$7:$L$19,2,0),"")&amp;" "&amp;IFERROR(VLOOKUP(portfolio_data!G19,portfolio_data!$K$7:$L$19,2,0),"")&amp;" "&amp;IFERROR(VLOOKUP(portfolio_data!H19,portfolio_data!$K$7:$L$19,2,0),"")</f>
        <v xml:space="preserve">state_IL funds1 business_B2B industry_healthcare  </v>
      </c>
      <c r="F51" t="s">
        <v>234</v>
      </c>
      <c r="I51" t="str">
        <f t="shared" si="3"/>
        <v>{url: "https://regrouptherapy.com/?ref=M25", class: "state_IL funds1 business_B2B industry_healthcare  " ,img: "RegroupTherapy"},</v>
      </c>
    </row>
    <row r="52" spans="1:9">
      <c r="A52" s="8">
        <f>portfolio_data!B6</f>
        <v>42430</v>
      </c>
      <c r="B52" t="s">
        <v>66</v>
      </c>
      <c r="C52" t="s">
        <v>175</v>
      </c>
      <c r="D52" t="str">
        <f t="shared" si="2"/>
        <v>http://www.boxfox.co/?ref=M25</v>
      </c>
      <c r="E52" t="str">
        <f>"state_"&amp;portfolio_data!C6&amp;" "&amp;portfolio_data!D6&amp;" "&amp;VLOOKUP(portfolio_data!E6,portfolio_data!$K$2:$L$4,2,0)&amp;" "&amp;IFERROR(VLOOKUP(portfolio_data!F6,portfolio_data!$K$7:$L$19,2,0),"")&amp;" "&amp;IFERROR(VLOOKUP(portfolio_data!G6,portfolio_data!$K$7:$L$19,2,0),"")&amp;" "&amp;IFERROR(VLOOKUP(portfolio_data!H6,portfolio_data!$K$7:$L$19,2,0),"")</f>
        <v xml:space="preserve">state_IN funds1 business_B2B industry_ecommerce industry_marketing </v>
      </c>
      <c r="F52" t="s">
        <v>66</v>
      </c>
      <c r="I52" t="str">
        <f t="shared" si="3"/>
        <v>{url: "http://www.boxfox.co/?ref=M25", class: "state_IN funds1 business_B2B industry_ecommerce industry_marketing " ,img: "BoxFox"},</v>
      </c>
    </row>
    <row r="53" spans="1:9">
      <c r="A53" s="8">
        <f>portfolio_data!B10</f>
        <v>42430</v>
      </c>
      <c r="B53" t="s">
        <v>70</v>
      </c>
      <c r="C53" t="s">
        <v>179</v>
      </c>
      <c r="D53" t="str">
        <f t="shared" si="2"/>
        <v>http://eastmanegg.com/?ref=M25</v>
      </c>
      <c r="E53" t="str">
        <f>"state_"&amp;portfolio_data!C10&amp;" "&amp;portfolio_data!D10&amp;" "&amp;VLOOKUP(portfolio_data!E10,portfolio_data!$K$2:$L$4,2,0)&amp;" "&amp;IFERROR(VLOOKUP(portfolio_data!F10,portfolio_data!$K$7:$L$19,2,0),"")&amp;" "&amp;IFERROR(VLOOKUP(portfolio_data!G10,portfolio_data!$K$7:$L$19,2,0),"")&amp;" "&amp;IFERROR(VLOOKUP(portfolio_data!H10,portfolio_data!$K$7:$L$19,2,0),"")</f>
        <v xml:space="preserve">state_IL funds1 business_B2C industry_food industry_other </v>
      </c>
      <c r="F53" t="s">
        <v>230</v>
      </c>
      <c r="I53" t="str">
        <f t="shared" si="3"/>
        <v>{url: "http://eastmanegg.com/?ref=M25", class: "state_IL funds1 business_B2C industry_food industry_other " ,img: "EastmanEgg"},</v>
      </c>
    </row>
    <row r="54" spans="1:9">
      <c r="A54" s="8">
        <f>portfolio_data!B20</f>
        <v>42430</v>
      </c>
      <c r="B54" t="s">
        <v>80</v>
      </c>
      <c r="C54" t="s">
        <v>189</v>
      </c>
      <c r="D54" t="str">
        <f t="shared" si="2"/>
        <v>http://www.scanalyticsinc.com/?ref=M25</v>
      </c>
      <c r="E54" t="str">
        <f>"state_"&amp;portfolio_data!C20&amp;" "&amp;portfolio_data!D20&amp;" "&amp;VLOOKUP(portfolio_data!E20,portfolio_data!$K$2:$L$4,2,0)&amp;" "&amp;IFERROR(VLOOKUP(portfolio_data!F20,portfolio_data!$K$7:$L$19,2,0),"")&amp;" "&amp;IFERROR(VLOOKUP(portfolio_data!G20,portfolio_data!$K$7:$L$19,2,0),"")&amp;" "&amp;IFERROR(VLOOKUP(portfolio_data!H20,portfolio_data!$K$7:$L$19,2,0),"")</f>
        <v xml:space="preserve">state_WI funds1 business_B2B industry_analytics  </v>
      </c>
      <c r="F54" t="s">
        <v>80</v>
      </c>
      <c r="I54" t="str">
        <f t="shared" si="3"/>
        <v>{url: "http://www.scanalyticsinc.com/?ref=M25", class: "state_WI funds1 business_B2B industry_analytics  " ,img: "Scanalytics"},</v>
      </c>
    </row>
    <row r="55" spans="1:9">
      <c r="A55" s="8">
        <f>portfolio_data!B8</f>
        <v>42309</v>
      </c>
      <c r="B55" t="s">
        <v>68</v>
      </c>
      <c r="C55" t="s">
        <v>177</v>
      </c>
      <c r="D55" t="str">
        <f t="shared" si="2"/>
        <v>http://www.dabble.co/?ref=M25</v>
      </c>
      <c r="E55" t="str">
        <f>"state_"&amp;portfolio_data!C8&amp;" "&amp;portfolio_data!D8&amp;" "&amp;VLOOKUP(portfolio_data!E8,portfolio_data!$K$2:$L$4,2,0)&amp;" "&amp;IFERROR(VLOOKUP(portfolio_data!F8,portfolio_data!$K$7:$L$19,2,0),"")&amp;" "&amp;IFERROR(VLOOKUP(portfolio_data!G8,portfolio_data!$K$7:$L$19,2,0),"")&amp;" "&amp;IFERROR(VLOOKUP(portfolio_data!H8,portfolio_data!$K$7:$L$19,2,0),"")</f>
        <v xml:space="preserve">state_IL funds1 business_B2C industry_marketing  </v>
      </c>
      <c r="F55" t="s">
        <v>68</v>
      </c>
      <c r="I55" t="str">
        <f t="shared" si="3"/>
        <v>{url: "http://www.dabble.co/?ref=M25", class: "state_IL funds1 business_B2C industry_marketing  " ,img: "Dabble"},</v>
      </c>
    </row>
    <row r="56" spans="1:9">
      <c r="A56" s="8">
        <f>portfolio_data!B12</f>
        <v>42278</v>
      </c>
      <c r="B56" t="s">
        <v>72</v>
      </c>
      <c r="C56" t="s">
        <v>181</v>
      </c>
      <c r="D56" t="str">
        <f t="shared" si="2"/>
        <v>http://www.wearehearken.com/?ref=M25</v>
      </c>
      <c r="E56" t="str">
        <f>"state_"&amp;portfolio_data!C12&amp;" "&amp;portfolio_data!D12&amp;" "&amp;VLOOKUP(portfolio_data!E12,portfolio_data!$K$2:$L$4,2,0)&amp;" "&amp;IFERROR(VLOOKUP(portfolio_data!F12,portfolio_data!$K$7:$L$19,2,0),"")&amp;" "&amp;IFERROR(VLOOKUP(portfolio_data!G12,portfolio_data!$K$7:$L$19,2,0),"")&amp;" "&amp;IFERROR(VLOOKUP(portfolio_data!H12,portfolio_data!$K$7:$L$19,2,0),"")</f>
        <v xml:space="preserve">state_IL funds1 business_B2B industry_entertainment  </v>
      </c>
      <c r="F56" t="s">
        <v>72</v>
      </c>
      <c r="I56" t="str">
        <f t="shared" si="3"/>
        <v>{url: "http://www.wearehearken.com/?ref=M25", class: "state_IL funds1 business_B2B industry_entertainment  " ,img: "Hearken"},</v>
      </c>
    </row>
    <row r="57" spans="1:9">
      <c r="A57" s="8">
        <f>portfolio_data!B16</f>
        <v>42278</v>
      </c>
      <c r="B57" t="s">
        <v>76</v>
      </c>
      <c r="C57" t="s">
        <v>185</v>
      </c>
      <c r="D57" t="str">
        <f t="shared" si="2"/>
        <v>http://pairade.com/?ref=M25</v>
      </c>
      <c r="E57" t="str">
        <f>"state_"&amp;portfolio_data!C16&amp;" "&amp;portfolio_data!D16&amp;" "&amp;VLOOKUP(portfolio_data!E16,portfolio_data!$K$2:$L$4,2,0)&amp;" "&amp;IFERROR(VLOOKUP(portfolio_data!F16,portfolio_data!$K$7:$L$19,2,0),"")&amp;" "&amp;IFERROR(VLOOKUP(portfolio_data!G16,portfolio_data!$K$7:$L$19,2,0),"")&amp;" "&amp;IFERROR(VLOOKUP(portfolio_data!H16,portfolio_data!$K$7:$L$19,2,0),"")</f>
        <v xml:space="preserve">state_IL funds1 business_B2C industry_entertainment industry_apps </v>
      </c>
      <c r="F57" t="s">
        <v>233</v>
      </c>
      <c r="I57" t="str">
        <f t="shared" si="3"/>
        <v>{url: "http://pairade.com/?ref=M25", class: "state_IL funds1 business_B2C industry_entertainment industry_apps " ,img: "Pairade"},</v>
      </c>
    </row>
    <row r="58" spans="1:9">
      <c r="A58" s="8">
        <f>portfolio_data!B23</f>
        <v>42278</v>
      </c>
      <c r="B58" t="s">
        <v>83</v>
      </c>
      <c r="C58" t="s">
        <v>192</v>
      </c>
      <c r="D58" t="str">
        <f t="shared" si="2"/>
        <v>http://www.zipfitdenim.com/?ref=M25</v>
      </c>
      <c r="E58" t="str">
        <f>"state_"&amp;portfolio_data!C23&amp;" "&amp;portfolio_data!D23&amp;" "&amp;VLOOKUP(portfolio_data!E23,portfolio_data!$K$2:$L$4,2,0)&amp;" "&amp;IFERROR(VLOOKUP(portfolio_data!F23,portfolio_data!$K$7:$L$19,2,0),"")&amp;" "&amp;IFERROR(VLOOKUP(portfolio_data!G23,portfolio_data!$K$7:$L$19,2,0),"")&amp;" "&amp;IFERROR(VLOOKUP(portfolio_data!H23,portfolio_data!$K$7:$L$19,2,0),"")</f>
        <v xml:space="preserve">state_IL funds1 business_B2C industry_ecommerce  </v>
      </c>
      <c r="F58" t="s">
        <v>83</v>
      </c>
      <c r="I58" t="str">
        <f t="shared" si="3"/>
        <v>{url: "http://www.zipfitdenim.com/?ref=M25", class: "state_IL funds1 business_B2C industry_ecommerce  " ,img: "ZipFit"},</v>
      </c>
    </row>
    <row r="59" spans="1:9">
      <c r="A59" s="8">
        <f>portfolio_data!B21</f>
        <v>42248</v>
      </c>
      <c r="B59" t="s">
        <v>81</v>
      </c>
      <c r="C59" t="s">
        <v>190</v>
      </c>
      <c r="D59" t="str">
        <f t="shared" si="2"/>
        <v>http://www.sentictechnologies.com/?ref=M25</v>
      </c>
      <c r="E59" t="str">
        <f>"state_"&amp;portfolio_data!C21&amp;" "&amp;portfolio_data!D21&amp;" "&amp;VLOOKUP(portfolio_data!E21,portfolio_data!$K$2:$L$4,2,0)&amp;" "&amp;IFERROR(VLOOKUP(portfolio_data!F21,portfolio_data!$K$7:$L$19,2,0),"")&amp;" "&amp;IFERROR(VLOOKUP(portfolio_data!G21,portfolio_data!$K$7:$L$19,2,0),"")&amp;" "&amp;IFERROR(VLOOKUP(portfolio_data!H21,portfolio_data!$K$7:$L$19,2,0),"")</f>
        <v xml:space="preserve">state_IL funds1 business_B2B industry_marketing  </v>
      </c>
      <c r="F59" t="s">
        <v>81</v>
      </c>
      <c r="I59" t="str">
        <f t="shared" si="3"/>
        <v>{url: "http://www.sentictechnologies.com/?ref=M25", class: "state_IL funds1 business_B2B industry_marketing  " ,img: "Sentic"},</v>
      </c>
    </row>
    <row r="60" spans="1:9">
      <c r="A60" s="8">
        <f>portfolio_data!B22</f>
        <v>42248</v>
      </c>
      <c r="B60" t="s">
        <v>82</v>
      </c>
      <c r="C60" t="s">
        <v>191</v>
      </c>
      <c r="D60" t="str">
        <f t="shared" si="2"/>
        <v>http://www.skyepack.com/?ref=M25</v>
      </c>
      <c r="E60" t="str">
        <f>"state_"&amp;portfolio_data!C22&amp;" "&amp;portfolio_data!D22&amp;" "&amp;VLOOKUP(portfolio_data!E22,portfolio_data!$K$2:$L$4,2,0)&amp;" "&amp;IFERROR(VLOOKUP(portfolio_data!F22,portfolio_data!$K$7:$L$19,2,0),"")&amp;" "&amp;IFERROR(VLOOKUP(portfolio_data!G22,portfolio_data!$K$7:$L$19,2,0),"")&amp;" "&amp;IFERROR(VLOOKUP(portfolio_data!H22,portfolio_data!$K$7:$L$19,2,0),"")</f>
        <v xml:space="preserve">state_IN funds1 business_B2C industry_education  </v>
      </c>
      <c r="F60" t="s">
        <v>82</v>
      </c>
      <c r="I60" t="str">
        <f t="shared" si="3"/>
        <v>{url: "http://www.skyepack.com/?ref=M25", class: "state_IN funds1 business_B2C industry_education  " ,img: "Skyepack"},</v>
      </c>
    </row>
    <row r="61" spans="1:9">
      <c r="A61" s="8">
        <f>portfolio_data!B11</f>
        <v>42217</v>
      </c>
      <c r="B61" t="s">
        <v>71</v>
      </c>
      <c r="C61" t="s">
        <v>180</v>
      </c>
      <c r="D61" t="str">
        <f t="shared" si="2"/>
        <v>https://www.glidera.io/?ref=M25</v>
      </c>
      <c r="E61" t="str">
        <f>"state_"&amp;portfolio_data!C11&amp;" "&amp;portfolio_data!D11&amp;" "&amp;VLOOKUP(portfolio_data!E11,portfolio_data!$K$2:$L$4,2,0)&amp;" "&amp;IFERROR(VLOOKUP(portfolio_data!F11,portfolio_data!$K$7:$L$19,2,0),"")&amp;" "&amp;IFERROR(VLOOKUP(portfolio_data!G11,portfolio_data!$K$7:$L$19,2,0),"")&amp;" "&amp;IFERROR(VLOOKUP(portfolio_data!H11,portfolio_data!$K$7:$L$19,2,0),"")</f>
        <v xml:space="preserve">state_IL funds1 business_B2C industry_finance  </v>
      </c>
      <c r="F61" t="s">
        <v>71</v>
      </c>
      <c r="I61" t="str">
        <f t="shared" si="3"/>
        <v>{url: "https://www.glidera.io/?ref=M25", class: "state_IL funds1 business_B2C industry_finance  " ,img: "Glidera"},</v>
      </c>
    </row>
    <row r="62" spans="1:9">
      <c r="A62" s="8">
        <f>portfolio_data!B15</f>
        <v>42217</v>
      </c>
      <c r="B62" t="s">
        <v>75</v>
      </c>
      <c r="C62" t="s">
        <v>184</v>
      </c>
      <c r="D62" t="str">
        <f t="shared" si="2"/>
        <v>https://mimirhq.com/?ref=M25</v>
      </c>
      <c r="E62" t="str">
        <f>"state_"&amp;portfolio_data!C15&amp;" "&amp;portfolio_data!D15&amp;" "&amp;VLOOKUP(portfolio_data!E15,portfolio_data!$K$2:$L$4,2,0)&amp;" "&amp;IFERROR(VLOOKUP(portfolio_data!F15,portfolio_data!$K$7:$L$19,2,0),"")&amp;" "&amp;IFERROR(VLOOKUP(portfolio_data!G15,portfolio_data!$K$7:$L$19,2,0),"")&amp;" "&amp;IFERROR(VLOOKUP(portfolio_data!H15,portfolio_data!$K$7:$L$19,2,0),"")</f>
        <v xml:space="preserve">state_IN funds1 business_B2B business_B2C industry_education  </v>
      </c>
      <c r="F62" t="s">
        <v>75</v>
      </c>
      <c r="I62" t="str">
        <f t="shared" si="3"/>
        <v>{url: "https://mimirhq.com/?ref=M25", class: "state_IN funds1 business_B2B business_B2C industry_education  " ,img: "Mimir"},</v>
      </c>
    </row>
    <row r="63" spans="1:9">
      <c r="A63" s="8">
        <f>portfolio_data!B3</f>
        <v>42156</v>
      </c>
      <c r="B63" t="s">
        <v>63</v>
      </c>
      <c r="C63" t="s">
        <v>172</v>
      </c>
      <c r="D63" t="str">
        <f t="shared" si="2"/>
        <v>https://www.app-press.com/?ref=M25</v>
      </c>
      <c r="E63" t="str">
        <f>"state_"&amp;portfolio_data!C3&amp;" "&amp;portfolio_data!D3&amp;" "&amp;VLOOKUP(portfolio_data!E3,portfolio_data!$K$2:$L$4,2,0)&amp;" "&amp;IFERROR(VLOOKUP(portfolio_data!F3,portfolio_data!$K$7:$L$19,2,0),"")&amp;" "&amp;IFERROR(VLOOKUP(portfolio_data!G3,portfolio_data!$K$7:$L$19,2,0),"")&amp;" "&amp;IFERROR(VLOOKUP(portfolio_data!H3,portfolio_data!$K$7:$L$19,2,0),"")</f>
        <v xml:space="preserve">state_IN funds1 business_B2B industry_enterprise  </v>
      </c>
      <c r="F63" t="s">
        <v>171</v>
      </c>
      <c r="I63" t="str">
        <f>"{"&amp;$D$1&amp;":"&amp;" """&amp;D63&amp;""""&amp;", "&amp;$E$1&amp;":"&amp;" """&amp;E63&amp;""""&amp;" ,"&amp;$F$1&amp;":"&amp;" """&amp;F63&amp;""""&amp;"}"</f>
        <v>{url: "https://www.app-press.com/?ref=M25", class: "state_IN funds1 business_B2B industry_enterprise  " ,img: "AppPress"}</v>
      </c>
    </row>
    <row r="64" spans="1:9">
      <c r="A64" s="8"/>
    </row>
    <row r="65" spans="1:1">
      <c r="A65" s="8"/>
    </row>
  </sheetData>
  <sortState ref="A6:F63">
    <sortCondition descending="1" ref="A1"/>
  </sortState>
  <hyperlinks>
    <hyperlink ref="B5" r:id="rId1" display="https://www.mysuperdispatch.com/" xr:uid="{818517C1-078F-9B45-8AAC-C46FC59F0AAE}"/>
    <hyperlink ref="B4" r:id="rId2" display="https://www.theminte.com/" xr:uid="{AB885E1C-FC2E-CB46-AC44-2D38FD32CB51}"/>
    <hyperlink ref="B3" r:id="rId3" display="https://upsie.com/" xr:uid="{DD0718F7-C1E4-E64C-802D-CF95984E5AE0}"/>
    <hyperlink ref="B2" r:id="rId4" display="https://www.ensodata.io/" xr:uid="{3C017957-7212-D243-9F84-3225FD009D4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69"/>
  <sheetViews>
    <sheetView topLeftCell="A39" workbookViewId="0">
      <selection activeCell="H66" sqref="H66"/>
    </sheetView>
  </sheetViews>
  <sheetFormatPr baseColWidth="10" defaultRowHeight="16"/>
  <cols>
    <col min="1" max="1" width="23.6640625" bestFit="1" customWidth="1"/>
    <col min="2" max="2" width="12.83203125" bestFit="1" customWidth="1"/>
    <col min="3" max="3" width="5" bestFit="1" customWidth="1"/>
    <col min="4" max="4" width="9.5" bestFit="1" customWidth="1"/>
    <col min="5" max="5" width="8.6640625" bestFit="1" customWidth="1"/>
    <col min="6" max="6" width="32" bestFit="1" customWidth="1"/>
    <col min="7" max="7" width="27.1640625" bestFit="1" customWidth="1"/>
    <col min="8" max="8" width="22.6640625" bestFit="1" customWidth="1"/>
    <col min="11" max="11" width="23.83203125" bestFit="1" customWidth="1"/>
  </cols>
  <sheetData>
    <row r="1" spans="1:12">
      <c r="A1" s="3" t="s">
        <v>121</v>
      </c>
      <c r="B1" s="6" t="s">
        <v>152</v>
      </c>
      <c r="C1" s="3" t="s">
        <v>122</v>
      </c>
      <c r="D1" s="4">
        <v>1</v>
      </c>
      <c r="E1" s="4">
        <v>2</v>
      </c>
      <c r="F1" s="3"/>
      <c r="G1" s="4">
        <v>3</v>
      </c>
      <c r="H1" s="4">
        <v>4</v>
      </c>
    </row>
    <row r="2" spans="1:12">
      <c r="A2" s="3"/>
      <c r="B2" s="7"/>
      <c r="C2" s="3"/>
      <c r="D2" s="4" t="s">
        <v>123</v>
      </c>
      <c r="E2" s="4" t="s">
        <v>124</v>
      </c>
      <c r="F2" s="4" t="s">
        <v>125</v>
      </c>
      <c r="G2" s="4"/>
      <c r="H2" s="3"/>
      <c r="K2" s="3" t="s">
        <v>128</v>
      </c>
      <c r="L2" s="3" t="s">
        <v>153</v>
      </c>
    </row>
    <row r="3" spans="1:12">
      <c r="A3" s="2" t="s">
        <v>63</v>
      </c>
      <c r="B3" s="9">
        <v>42156</v>
      </c>
      <c r="C3" s="3" t="s">
        <v>126</v>
      </c>
      <c r="D3" s="4" t="s">
        <v>127</v>
      </c>
      <c r="E3" s="4" t="s">
        <v>128</v>
      </c>
      <c r="F3" s="5" t="s">
        <v>129</v>
      </c>
      <c r="G3" s="5"/>
      <c r="H3" s="5"/>
      <c r="K3" s="3" t="s">
        <v>124</v>
      </c>
      <c r="L3" s="3" t="s">
        <v>154</v>
      </c>
    </row>
    <row r="4" spans="1:12">
      <c r="A4" s="2" t="s">
        <v>64</v>
      </c>
      <c r="B4" s="9">
        <v>42552</v>
      </c>
      <c r="C4" s="3" t="s">
        <v>130</v>
      </c>
      <c r="D4" s="4" t="s">
        <v>127</v>
      </c>
      <c r="E4" s="4" t="s">
        <v>124</v>
      </c>
      <c r="F4" s="5" t="s">
        <v>131</v>
      </c>
      <c r="G4" s="5" t="s">
        <v>132</v>
      </c>
      <c r="H4" s="3"/>
      <c r="K4" s="3" t="s">
        <v>135</v>
      </c>
      <c r="L4" s="3" t="s">
        <v>155</v>
      </c>
    </row>
    <row r="5" spans="1:12">
      <c r="A5" s="2" t="s">
        <v>65</v>
      </c>
      <c r="B5" s="9">
        <v>42461</v>
      </c>
      <c r="C5" s="3" t="s">
        <v>130</v>
      </c>
      <c r="D5" s="4" t="s">
        <v>127</v>
      </c>
      <c r="E5" s="4" t="s">
        <v>128</v>
      </c>
      <c r="F5" s="5" t="s">
        <v>133</v>
      </c>
      <c r="G5" s="5" t="s">
        <v>132</v>
      </c>
      <c r="H5" s="3"/>
    </row>
    <row r="6" spans="1:12">
      <c r="A6" s="2" t="s">
        <v>66</v>
      </c>
      <c r="B6" s="9">
        <v>42430</v>
      </c>
      <c r="C6" s="3" t="s">
        <v>126</v>
      </c>
      <c r="D6" s="4" t="s">
        <v>127</v>
      </c>
      <c r="E6" s="4" t="s">
        <v>128</v>
      </c>
      <c r="F6" s="5" t="s">
        <v>134</v>
      </c>
      <c r="G6" s="3" t="s">
        <v>43</v>
      </c>
      <c r="H6" s="3"/>
    </row>
    <row r="7" spans="1:12">
      <c r="A7" s="2" t="s">
        <v>67</v>
      </c>
      <c r="B7" s="9">
        <v>42491</v>
      </c>
      <c r="C7" s="3" t="s">
        <v>130</v>
      </c>
      <c r="D7" s="4" t="s">
        <v>127</v>
      </c>
      <c r="E7" s="4" t="s">
        <v>124</v>
      </c>
      <c r="F7" s="3" t="s">
        <v>43</v>
      </c>
      <c r="G7" s="3"/>
      <c r="H7" s="5" t="s">
        <v>129</v>
      </c>
      <c r="K7" s="3" t="s">
        <v>132</v>
      </c>
      <c r="L7" s="3" t="s">
        <v>156</v>
      </c>
    </row>
    <row r="8" spans="1:12">
      <c r="A8" s="2" t="s">
        <v>68</v>
      </c>
      <c r="B8" s="9">
        <v>42309</v>
      </c>
      <c r="C8" s="3" t="s">
        <v>130</v>
      </c>
      <c r="D8" s="4" t="s">
        <v>127</v>
      </c>
      <c r="E8" s="4" t="s">
        <v>135</v>
      </c>
      <c r="F8" s="3" t="s">
        <v>43</v>
      </c>
      <c r="G8" s="3"/>
      <c r="H8" s="3"/>
      <c r="K8" s="3" t="s">
        <v>141</v>
      </c>
      <c r="L8" s="3" t="s">
        <v>157</v>
      </c>
    </row>
    <row r="9" spans="1:12">
      <c r="A9" s="2" t="s">
        <v>69</v>
      </c>
      <c r="B9" s="9">
        <v>42522</v>
      </c>
      <c r="C9" s="3" t="s">
        <v>126</v>
      </c>
      <c r="D9" s="4" t="s">
        <v>127</v>
      </c>
      <c r="E9" s="4" t="s">
        <v>128</v>
      </c>
      <c r="F9" s="5" t="s">
        <v>132</v>
      </c>
      <c r="G9" s="5"/>
      <c r="H9" s="3"/>
      <c r="K9" s="3" t="s">
        <v>134</v>
      </c>
      <c r="L9" s="3" t="s">
        <v>158</v>
      </c>
    </row>
    <row r="10" spans="1:12">
      <c r="A10" s="2" t="s">
        <v>70</v>
      </c>
      <c r="B10" s="9">
        <v>42430</v>
      </c>
      <c r="C10" s="3" t="s">
        <v>130</v>
      </c>
      <c r="D10" s="4" t="s">
        <v>127</v>
      </c>
      <c r="E10" s="4" t="s">
        <v>135</v>
      </c>
      <c r="F10" s="3" t="s">
        <v>136</v>
      </c>
      <c r="G10" s="5" t="s">
        <v>137</v>
      </c>
      <c r="H10" s="3"/>
      <c r="K10" s="3" t="s">
        <v>131</v>
      </c>
      <c r="L10" s="3" t="s">
        <v>159</v>
      </c>
    </row>
    <row r="11" spans="1:12">
      <c r="A11" s="2" t="s">
        <v>71</v>
      </c>
      <c r="B11" s="9">
        <v>42217</v>
      </c>
      <c r="C11" s="3" t="s">
        <v>130</v>
      </c>
      <c r="D11" s="4" t="s">
        <v>127</v>
      </c>
      <c r="E11" s="4" t="s">
        <v>135</v>
      </c>
      <c r="F11" s="3" t="s">
        <v>138</v>
      </c>
      <c r="G11" s="3"/>
      <c r="H11" s="3"/>
      <c r="K11" s="3" t="s">
        <v>129</v>
      </c>
      <c r="L11" s="3" t="s">
        <v>160</v>
      </c>
    </row>
    <row r="12" spans="1:12">
      <c r="A12" s="2" t="s">
        <v>72</v>
      </c>
      <c r="B12" s="9">
        <v>42278</v>
      </c>
      <c r="C12" s="3" t="s">
        <v>130</v>
      </c>
      <c r="D12" s="4" t="s">
        <v>127</v>
      </c>
      <c r="E12" s="4" t="s">
        <v>128</v>
      </c>
      <c r="F12" s="5" t="s">
        <v>133</v>
      </c>
      <c r="G12" s="3"/>
      <c r="H12" s="3"/>
      <c r="K12" s="3" t="s">
        <v>133</v>
      </c>
      <c r="L12" s="3" t="s">
        <v>161</v>
      </c>
    </row>
    <row r="13" spans="1:12">
      <c r="A13" s="2" t="s">
        <v>73</v>
      </c>
      <c r="B13" s="9">
        <v>42491</v>
      </c>
      <c r="C13" s="3" t="s">
        <v>139</v>
      </c>
      <c r="D13" s="4" t="s">
        <v>127</v>
      </c>
      <c r="E13" s="4" t="s">
        <v>128</v>
      </c>
      <c r="F13" s="5"/>
      <c r="G13" s="3"/>
      <c r="H13" s="5" t="s">
        <v>129</v>
      </c>
      <c r="K13" s="3" t="s">
        <v>138</v>
      </c>
      <c r="L13" s="3" t="s">
        <v>162</v>
      </c>
    </row>
    <row r="14" spans="1:12">
      <c r="A14" s="2" t="s">
        <v>74</v>
      </c>
      <c r="B14" s="9">
        <v>42522</v>
      </c>
      <c r="C14" s="3" t="s">
        <v>130</v>
      </c>
      <c r="D14" s="4" t="s">
        <v>127</v>
      </c>
      <c r="E14" s="4" t="s">
        <v>128</v>
      </c>
      <c r="F14" s="3" t="s">
        <v>140</v>
      </c>
      <c r="G14" s="5" t="s">
        <v>132</v>
      </c>
      <c r="H14" s="3"/>
      <c r="K14" s="3" t="s">
        <v>136</v>
      </c>
      <c r="L14" s="3" t="s">
        <v>163</v>
      </c>
    </row>
    <row r="15" spans="1:12">
      <c r="A15" s="2" t="s">
        <v>75</v>
      </c>
      <c r="B15" s="9">
        <v>42217</v>
      </c>
      <c r="C15" s="3" t="s">
        <v>126</v>
      </c>
      <c r="D15" s="4" t="s">
        <v>127</v>
      </c>
      <c r="E15" s="4" t="s">
        <v>124</v>
      </c>
      <c r="F15" s="5" t="s">
        <v>131</v>
      </c>
      <c r="G15" s="3"/>
      <c r="H15" s="3"/>
      <c r="K15" s="3" t="s">
        <v>140</v>
      </c>
      <c r="L15" s="3" t="s">
        <v>164</v>
      </c>
    </row>
    <row r="16" spans="1:12">
      <c r="A16" s="2" t="s">
        <v>76</v>
      </c>
      <c r="B16" s="9">
        <v>42278</v>
      </c>
      <c r="C16" s="3" t="s">
        <v>130</v>
      </c>
      <c r="D16" s="4" t="s">
        <v>127</v>
      </c>
      <c r="E16" s="4" t="s">
        <v>135</v>
      </c>
      <c r="F16" s="5" t="s">
        <v>133</v>
      </c>
      <c r="G16" s="5" t="s">
        <v>141</v>
      </c>
      <c r="H16" s="3"/>
      <c r="K16" s="3" t="s">
        <v>43</v>
      </c>
      <c r="L16" s="3" t="s">
        <v>165</v>
      </c>
    </row>
    <row r="17" spans="1:12">
      <c r="A17" s="2" t="s">
        <v>77</v>
      </c>
      <c r="B17" s="9">
        <v>42583</v>
      </c>
      <c r="C17" s="3" t="s">
        <v>126</v>
      </c>
      <c r="D17" s="4" t="s">
        <v>127</v>
      </c>
      <c r="E17" s="4" t="s">
        <v>128</v>
      </c>
      <c r="F17" s="5" t="s">
        <v>131</v>
      </c>
      <c r="G17" s="3"/>
      <c r="H17" s="5" t="s">
        <v>129</v>
      </c>
      <c r="K17" s="3" t="s">
        <v>137</v>
      </c>
      <c r="L17" s="3" t="s">
        <v>166</v>
      </c>
    </row>
    <row r="18" spans="1:12">
      <c r="A18" s="2" t="s">
        <v>78</v>
      </c>
      <c r="B18" s="9">
        <v>42491</v>
      </c>
      <c r="C18" s="3" t="s">
        <v>130</v>
      </c>
      <c r="D18" s="4" t="s">
        <v>127</v>
      </c>
      <c r="E18" s="4" t="s">
        <v>128</v>
      </c>
      <c r="F18" s="5" t="s">
        <v>131</v>
      </c>
      <c r="G18" s="3"/>
      <c r="H18" s="5" t="s">
        <v>129</v>
      </c>
      <c r="K18" s="3" t="s">
        <v>145</v>
      </c>
      <c r="L18" s="3" t="s">
        <v>167</v>
      </c>
    </row>
    <row r="19" spans="1:12">
      <c r="A19" s="2" t="s">
        <v>79</v>
      </c>
      <c r="B19" s="9">
        <v>42461</v>
      </c>
      <c r="C19" s="3" t="s">
        <v>130</v>
      </c>
      <c r="D19" s="4" t="s">
        <v>127</v>
      </c>
      <c r="E19" s="4" t="s">
        <v>128</v>
      </c>
      <c r="F19" s="3" t="s">
        <v>140</v>
      </c>
      <c r="G19" s="3"/>
      <c r="H19" s="3"/>
      <c r="K19" s="3" t="s">
        <v>147</v>
      </c>
      <c r="L19" s="3" t="s">
        <v>168</v>
      </c>
    </row>
    <row r="20" spans="1:12">
      <c r="A20" s="2" t="s">
        <v>80</v>
      </c>
      <c r="B20" s="9">
        <v>42430</v>
      </c>
      <c r="C20" s="3" t="s">
        <v>142</v>
      </c>
      <c r="D20" s="4" t="s">
        <v>127</v>
      </c>
      <c r="E20" s="4" t="s">
        <v>128</v>
      </c>
      <c r="F20" s="5" t="s">
        <v>132</v>
      </c>
      <c r="G20" s="3"/>
      <c r="H20" s="3"/>
    </row>
    <row r="21" spans="1:12">
      <c r="A21" s="2" t="s">
        <v>81</v>
      </c>
      <c r="B21" s="9">
        <v>42248</v>
      </c>
      <c r="C21" s="3" t="s">
        <v>130</v>
      </c>
      <c r="D21" s="4" t="s">
        <v>127</v>
      </c>
      <c r="E21" s="4" t="s">
        <v>128</v>
      </c>
      <c r="F21" s="3" t="s">
        <v>43</v>
      </c>
      <c r="G21" s="3"/>
      <c r="H21" s="3"/>
    </row>
    <row r="22" spans="1:12">
      <c r="A22" s="2" t="s">
        <v>82</v>
      </c>
      <c r="B22" s="9">
        <v>42248</v>
      </c>
      <c r="C22" s="3" t="s">
        <v>126</v>
      </c>
      <c r="D22" s="4" t="s">
        <v>127</v>
      </c>
      <c r="E22" s="4" t="s">
        <v>135</v>
      </c>
      <c r="F22" s="5" t="s">
        <v>131</v>
      </c>
      <c r="G22" s="3"/>
      <c r="H22" s="3"/>
    </row>
    <row r="23" spans="1:12">
      <c r="A23" s="2" t="s">
        <v>83</v>
      </c>
      <c r="B23" s="9">
        <v>42278</v>
      </c>
      <c r="C23" s="3" t="s">
        <v>130</v>
      </c>
      <c r="D23" s="4" t="s">
        <v>127</v>
      </c>
      <c r="E23" s="4" t="s">
        <v>135</v>
      </c>
      <c r="F23" s="5" t="s">
        <v>134</v>
      </c>
      <c r="G23" s="3"/>
      <c r="H23" s="3"/>
      <c r="K23" t="str">
        <f>VLOOKUP(E3,$K$2:$L$4,2,0)&amp;" "&amp;VLOOKUP(E3,$K$2:$L$4,2,0)</f>
        <v>business_B2B business_B2B</v>
      </c>
    </row>
    <row r="24" spans="1:12">
      <c r="A24" s="3"/>
      <c r="B24" s="3"/>
      <c r="C24" s="3"/>
      <c r="D24" s="3"/>
      <c r="E24" s="3"/>
      <c r="F24" s="3"/>
      <c r="G24" s="3"/>
      <c r="H24" s="3"/>
    </row>
    <row r="25" spans="1:12">
      <c r="A25" s="2" t="s">
        <v>84</v>
      </c>
      <c r="B25" s="9">
        <v>42552</v>
      </c>
      <c r="C25" s="3" t="s">
        <v>143</v>
      </c>
      <c r="D25" s="5" t="s">
        <v>144</v>
      </c>
      <c r="E25" s="5" t="s">
        <v>135</v>
      </c>
      <c r="F25" s="5" t="s">
        <v>133</v>
      </c>
      <c r="G25" s="5" t="s">
        <v>141</v>
      </c>
      <c r="H25" s="3"/>
    </row>
    <row r="26" spans="1:12">
      <c r="A26" s="2" t="s">
        <v>85</v>
      </c>
      <c r="B26" s="9">
        <v>42583</v>
      </c>
      <c r="C26" s="3" t="s">
        <v>130</v>
      </c>
      <c r="D26" s="5" t="s">
        <v>144</v>
      </c>
      <c r="E26" s="5" t="s">
        <v>128</v>
      </c>
      <c r="F26" s="3" t="s">
        <v>140</v>
      </c>
      <c r="G26" s="3"/>
      <c r="H26" s="3"/>
    </row>
    <row r="27" spans="1:12">
      <c r="A27" s="2" t="s">
        <v>86</v>
      </c>
      <c r="B27" s="9">
        <v>42614</v>
      </c>
      <c r="C27" s="3" t="s">
        <v>126</v>
      </c>
      <c r="D27" s="5" t="s">
        <v>144</v>
      </c>
      <c r="E27" s="5" t="s">
        <v>128</v>
      </c>
      <c r="F27" s="3" t="s">
        <v>145</v>
      </c>
      <c r="G27" s="3"/>
      <c r="H27" s="5"/>
    </row>
    <row r="28" spans="1:12">
      <c r="A28" s="2" t="s">
        <v>87</v>
      </c>
      <c r="B28" s="9">
        <v>42644</v>
      </c>
      <c r="C28" s="3" t="s">
        <v>130</v>
      </c>
      <c r="D28" s="5" t="s">
        <v>144</v>
      </c>
      <c r="E28" s="5" t="s">
        <v>128</v>
      </c>
      <c r="F28" s="5" t="s">
        <v>132</v>
      </c>
      <c r="G28" s="3"/>
      <c r="H28" s="5" t="s">
        <v>129</v>
      </c>
    </row>
    <row r="29" spans="1:12">
      <c r="A29" s="2" t="s">
        <v>88</v>
      </c>
      <c r="B29" s="9">
        <v>42644</v>
      </c>
      <c r="C29" s="3" t="s">
        <v>130</v>
      </c>
      <c r="D29" s="5" t="s">
        <v>144</v>
      </c>
      <c r="E29" s="5" t="s">
        <v>124</v>
      </c>
      <c r="F29" s="5" t="s">
        <v>134</v>
      </c>
      <c r="G29" s="3" t="s">
        <v>43</v>
      </c>
      <c r="H29" s="3"/>
    </row>
    <row r="30" spans="1:12">
      <c r="A30" s="2" t="s">
        <v>89</v>
      </c>
      <c r="B30" s="9">
        <v>42644</v>
      </c>
      <c r="C30" s="3" t="s">
        <v>130</v>
      </c>
      <c r="D30" s="5" t="s">
        <v>144</v>
      </c>
      <c r="E30" s="5" t="s">
        <v>135</v>
      </c>
      <c r="F30" s="5" t="s">
        <v>137</v>
      </c>
      <c r="G30" s="3"/>
      <c r="H30" s="3"/>
    </row>
    <row r="31" spans="1:12">
      <c r="A31" s="2" t="s">
        <v>90</v>
      </c>
      <c r="B31" s="9">
        <v>42644</v>
      </c>
      <c r="C31" s="3" t="s">
        <v>146</v>
      </c>
      <c r="D31" s="5" t="s">
        <v>144</v>
      </c>
      <c r="E31" s="5" t="s">
        <v>128</v>
      </c>
      <c r="F31" s="3" t="s">
        <v>145</v>
      </c>
      <c r="G31" s="3" t="s">
        <v>147</v>
      </c>
      <c r="H31" s="5" t="s">
        <v>132</v>
      </c>
    </row>
    <row r="32" spans="1:12">
      <c r="A32" s="2" t="s">
        <v>91</v>
      </c>
      <c r="B32" s="9">
        <v>42675</v>
      </c>
      <c r="C32" s="3" t="s">
        <v>130</v>
      </c>
      <c r="D32" s="5" t="s">
        <v>144</v>
      </c>
      <c r="E32" s="5" t="s">
        <v>128</v>
      </c>
      <c r="F32" s="3" t="s">
        <v>136</v>
      </c>
      <c r="G32" s="3"/>
      <c r="H32" s="3"/>
    </row>
    <row r="33" spans="1:8">
      <c r="A33" s="2" t="s">
        <v>92</v>
      </c>
      <c r="B33" s="9">
        <v>42675</v>
      </c>
      <c r="C33" s="3" t="s">
        <v>139</v>
      </c>
      <c r="D33" s="5" t="s">
        <v>144</v>
      </c>
      <c r="E33" s="5" t="s">
        <v>135</v>
      </c>
      <c r="F33" s="5" t="s">
        <v>133</v>
      </c>
      <c r="G33" s="5" t="s">
        <v>141</v>
      </c>
      <c r="H33" s="3"/>
    </row>
    <row r="34" spans="1:8">
      <c r="A34" s="2" t="s">
        <v>93</v>
      </c>
      <c r="B34" s="9">
        <v>42675</v>
      </c>
      <c r="C34" s="3" t="s">
        <v>146</v>
      </c>
      <c r="D34" s="5" t="s">
        <v>144</v>
      </c>
      <c r="E34" s="5" t="s">
        <v>135</v>
      </c>
      <c r="F34" s="5" t="s">
        <v>134</v>
      </c>
      <c r="G34" s="5" t="s">
        <v>141</v>
      </c>
      <c r="H34" s="3"/>
    </row>
    <row r="35" spans="1:8">
      <c r="A35" s="2" t="s">
        <v>94</v>
      </c>
      <c r="B35" s="9">
        <v>42675</v>
      </c>
      <c r="C35" s="3" t="s">
        <v>148</v>
      </c>
      <c r="D35" s="5" t="s">
        <v>144</v>
      </c>
      <c r="E35" s="5" t="s">
        <v>124</v>
      </c>
      <c r="F35" s="5" t="s">
        <v>129</v>
      </c>
      <c r="G35" s="3"/>
      <c r="H35" s="3"/>
    </row>
    <row r="36" spans="1:8">
      <c r="A36" s="2" t="s">
        <v>95</v>
      </c>
      <c r="B36" s="9">
        <v>42736</v>
      </c>
      <c r="C36" s="3" t="s">
        <v>130</v>
      </c>
      <c r="D36" s="5" t="s">
        <v>144</v>
      </c>
      <c r="E36" s="5" t="s">
        <v>135</v>
      </c>
      <c r="F36" s="3"/>
      <c r="G36" s="5" t="s">
        <v>132</v>
      </c>
      <c r="H36" s="3"/>
    </row>
    <row r="37" spans="1:8">
      <c r="A37" s="2" t="s">
        <v>96</v>
      </c>
      <c r="B37" s="9">
        <v>42767</v>
      </c>
      <c r="C37" s="3" t="s">
        <v>126</v>
      </c>
      <c r="D37" s="5" t="s">
        <v>144</v>
      </c>
      <c r="E37" s="5" t="s">
        <v>128</v>
      </c>
      <c r="F37" s="3"/>
      <c r="G37" s="5" t="s">
        <v>129</v>
      </c>
      <c r="H37" s="3"/>
    </row>
    <row r="38" spans="1:8">
      <c r="A38" s="2" t="s">
        <v>97</v>
      </c>
      <c r="B38" s="9">
        <v>42767</v>
      </c>
      <c r="C38" s="3" t="s">
        <v>146</v>
      </c>
      <c r="D38" s="5" t="s">
        <v>144</v>
      </c>
      <c r="E38" s="5" t="s">
        <v>128</v>
      </c>
      <c r="F38" s="5" t="s">
        <v>132</v>
      </c>
      <c r="G38" s="5" t="s">
        <v>129</v>
      </c>
      <c r="H38" s="3"/>
    </row>
    <row r="39" spans="1:8">
      <c r="A39" s="2" t="s">
        <v>98</v>
      </c>
      <c r="B39" s="9">
        <v>42767</v>
      </c>
      <c r="C39" s="3" t="s">
        <v>146</v>
      </c>
      <c r="D39" s="5" t="s">
        <v>144</v>
      </c>
      <c r="E39" s="5" t="s">
        <v>135</v>
      </c>
      <c r="F39" s="5" t="s">
        <v>141</v>
      </c>
      <c r="G39" s="3"/>
      <c r="H39" s="3"/>
    </row>
    <row r="40" spans="1:8">
      <c r="A40" s="2" t="s">
        <v>99</v>
      </c>
      <c r="B40" s="9">
        <v>42856</v>
      </c>
      <c r="C40" s="3" t="s">
        <v>149</v>
      </c>
      <c r="D40" s="5" t="s">
        <v>144</v>
      </c>
      <c r="E40" s="5" t="s">
        <v>135</v>
      </c>
      <c r="F40" s="5" t="s">
        <v>133</v>
      </c>
      <c r="G40" s="5" t="s">
        <v>141</v>
      </c>
      <c r="H40" s="3"/>
    </row>
    <row r="41" spans="1:8">
      <c r="A41" s="2" t="s">
        <v>100</v>
      </c>
      <c r="B41" s="9">
        <v>42856</v>
      </c>
      <c r="C41" s="3" t="s">
        <v>130</v>
      </c>
      <c r="D41" s="5" t="s">
        <v>144</v>
      </c>
      <c r="E41" s="5" t="s">
        <v>124</v>
      </c>
      <c r="F41" s="3" t="s">
        <v>145</v>
      </c>
      <c r="G41" s="3"/>
      <c r="H41" s="3"/>
    </row>
    <row r="42" spans="1:8">
      <c r="A42" s="2" t="s">
        <v>101</v>
      </c>
      <c r="B42" s="9">
        <v>42856</v>
      </c>
      <c r="C42" s="3" t="s">
        <v>146</v>
      </c>
      <c r="D42" s="5" t="s">
        <v>144</v>
      </c>
      <c r="E42" s="5" t="s">
        <v>128</v>
      </c>
      <c r="F42" s="3" t="s">
        <v>140</v>
      </c>
      <c r="G42" s="3"/>
      <c r="H42" s="3"/>
    </row>
    <row r="43" spans="1:8">
      <c r="A43" s="2" t="s">
        <v>102</v>
      </c>
      <c r="B43" s="9">
        <v>42887</v>
      </c>
      <c r="C43" s="3" t="s">
        <v>130</v>
      </c>
      <c r="D43" s="5" t="s">
        <v>144</v>
      </c>
      <c r="E43" s="5" t="s">
        <v>135</v>
      </c>
      <c r="F43" s="3" t="s">
        <v>138</v>
      </c>
      <c r="G43" s="3"/>
      <c r="H43" s="3"/>
    </row>
    <row r="44" spans="1:8">
      <c r="A44" s="2" t="s">
        <v>103</v>
      </c>
      <c r="B44" s="9">
        <v>42887</v>
      </c>
      <c r="C44" s="3" t="s">
        <v>146</v>
      </c>
      <c r="D44" s="5" t="s">
        <v>144</v>
      </c>
      <c r="E44" s="5" t="s">
        <v>135</v>
      </c>
      <c r="F44" s="5" t="s">
        <v>133</v>
      </c>
      <c r="G44" s="5" t="s">
        <v>141</v>
      </c>
      <c r="H44" s="3"/>
    </row>
    <row r="45" spans="1:8">
      <c r="A45" s="2" t="s">
        <v>104</v>
      </c>
      <c r="B45" s="9">
        <v>42887</v>
      </c>
      <c r="C45" s="3" t="s">
        <v>126</v>
      </c>
      <c r="D45" s="5" t="s">
        <v>144</v>
      </c>
      <c r="E45" s="5" t="s">
        <v>128</v>
      </c>
      <c r="F45" s="3" t="s">
        <v>138</v>
      </c>
      <c r="G45" s="3"/>
      <c r="H45" s="3"/>
    </row>
    <row r="46" spans="1:8">
      <c r="A46" s="2" t="s">
        <v>105</v>
      </c>
      <c r="B46" s="9">
        <v>42887</v>
      </c>
      <c r="C46" s="3" t="s">
        <v>150</v>
      </c>
      <c r="D46" s="5" t="s">
        <v>144</v>
      </c>
      <c r="E46" s="5" t="s">
        <v>128</v>
      </c>
      <c r="F46" s="5" t="s">
        <v>133</v>
      </c>
      <c r="G46" s="5" t="s">
        <v>43</v>
      </c>
      <c r="H46" s="3"/>
    </row>
    <row r="47" spans="1:8">
      <c r="A47" s="2" t="s">
        <v>106</v>
      </c>
      <c r="B47" s="9">
        <v>42917</v>
      </c>
      <c r="C47" s="3" t="s">
        <v>130</v>
      </c>
      <c r="D47" s="5" t="s">
        <v>144</v>
      </c>
      <c r="E47" s="5" t="s">
        <v>124</v>
      </c>
      <c r="F47" s="3" t="s">
        <v>140</v>
      </c>
      <c r="G47" s="3"/>
      <c r="H47" s="3"/>
    </row>
    <row r="48" spans="1:8">
      <c r="A48" s="2" t="s">
        <v>107</v>
      </c>
      <c r="B48" s="9">
        <v>42917</v>
      </c>
      <c r="C48" s="3" t="s">
        <v>130</v>
      </c>
      <c r="D48" s="5" t="s">
        <v>144</v>
      </c>
      <c r="E48" s="5" t="s">
        <v>128</v>
      </c>
      <c r="F48" s="3" t="s">
        <v>138</v>
      </c>
      <c r="G48" s="5"/>
      <c r="H48" s="3"/>
    </row>
    <row r="49" spans="1:9">
      <c r="A49" s="2" t="s">
        <v>108</v>
      </c>
      <c r="B49" s="9">
        <v>42948</v>
      </c>
      <c r="C49" s="3" t="s">
        <v>146</v>
      </c>
      <c r="D49" s="5" t="s">
        <v>144</v>
      </c>
      <c r="E49" s="5" t="s">
        <v>128</v>
      </c>
      <c r="F49" s="5" t="s">
        <v>129</v>
      </c>
      <c r="G49" s="3"/>
      <c r="H49" s="3"/>
    </row>
    <row r="50" spans="1:9">
      <c r="A50" s="2" t="s">
        <v>109</v>
      </c>
      <c r="B50" s="9">
        <v>42948</v>
      </c>
      <c r="C50" s="3" t="s">
        <v>151</v>
      </c>
      <c r="D50" s="5" t="s">
        <v>144</v>
      </c>
      <c r="E50" s="5" t="s">
        <v>128</v>
      </c>
      <c r="F50" s="5" t="s">
        <v>129</v>
      </c>
      <c r="G50" s="3"/>
      <c r="H50" s="3"/>
    </row>
    <row r="51" spans="1:9">
      <c r="A51" s="2" t="s">
        <v>110</v>
      </c>
      <c r="B51" s="9">
        <v>42948</v>
      </c>
      <c r="C51" s="3" t="s">
        <v>148</v>
      </c>
      <c r="D51" s="5" t="s">
        <v>144</v>
      </c>
      <c r="E51" s="5" t="s">
        <v>128</v>
      </c>
      <c r="F51" s="3" t="s">
        <v>140</v>
      </c>
      <c r="G51" s="3"/>
      <c r="H51" s="3"/>
    </row>
    <row r="52" spans="1:9">
      <c r="A52" s="2" t="s">
        <v>111</v>
      </c>
      <c r="B52" s="10">
        <v>43000</v>
      </c>
      <c r="C52" s="3" t="s">
        <v>130</v>
      </c>
      <c r="D52" s="5" t="s">
        <v>144</v>
      </c>
      <c r="E52" s="5" t="s">
        <v>124</v>
      </c>
      <c r="F52" s="3" t="s">
        <v>138</v>
      </c>
      <c r="G52" s="3"/>
      <c r="H52" s="3"/>
    </row>
    <row r="53" spans="1:9">
      <c r="A53" s="2" t="s">
        <v>112</v>
      </c>
      <c r="B53" s="10">
        <v>43004</v>
      </c>
      <c r="C53" s="3" t="s">
        <v>139</v>
      </c>
      <c r="D53" s="5" t="s">
        <v>144</v>
      </c>
      <c r="E53" s="5" t="s">
        <v>128</v>
      </c>
      <c r="F53" s="3" t="s">
        <v>147</v>
      </c>
      <c r="G53" s="3"/>
      <c r="H53" s="3"/>
    </row>
    <row r="54" spans="1:9">
      <c r="A54" s="2" t="s">
        <v>113</v>
      </c>
      <c r="B54" s="11">
        <v>43024</v>
      </c>
      <c r="C54" s="3" t="s">
        <v>151</v>
      </c>
      <c r="D54" s="5" t="s">
        <v>144</v>
      </c>
      <c r="E54" s="5" t="s">
        <v>128</v>
      </c>
      <c r="F54" s="5" t="s">
        <v>129</v>
      </c>
      <c r="G54" s="3"/>
      <c r="H54" s="3"/>
    </row>
    <row r="55" spans="1:9">
      <c r="A55" s="2" t="s">
        <v>114</v>
      </c>
      <c r="B55" s="11">
        <v>43031</v>
      </c>
      <c r="C55" s="3" t="s">
        <v>130</v>
      </c>
      <c r="D55" s="5" t="s">
        <v>144</v>
      </c>
      <c r="E55" s="5" t="s">
        <v>135</v>
      </c>
      <c r="F55" s="3" t="s">
        <v>140</v>
      </c>
      <c r="G55" s="5" t="s">
        <v>131</v>
      </c>
      <c r="H55" s="3"/>
    </row>
    <row r="56" spans="1:9">
      <c r="A56" s="2" t="s">
        <v>115</v>
      </c>
      <c r="B56" s="11">
        <v>43041</v>
      </c>
      <c r="C56" s="3" t="s">
        <v>143</v>
      </c>
      <c r="D56" s="5" t="s">
        <v>144</v>
      </c>
      <c r="E56" s="5" t="s">
        <v>128</v>
      </c>
      <c r="F56" s="5" t="s">
        <v>132</v>
      </c>
      <c r="G56" s="3" t="s">
        <v>43</v>
      </c>
      <c r="H56" s="3"/>
    </row>
    <row r="57" spans="1:9">
      <c r="A57" s="2" t="s">
        <v>116</v>
      </c>
      <c r="B57" s="11">
        <v>43048</v>
      </c>
      <c r="C57" s="3" t="s">
        <v>130</v>
      </c>
      <c r="D57" s="5" t="s">
        <v>144</v>
      </c>
      <c r="E57" s="5" t="s">
        <v>124</v>
      </c>
      <c r="F57" s="3" t="s">
        <v>145</v>
      </c>
      <c r="G57" s="5" t="s">
        <v>132</v>
      </c>
      <c r="H57" s="3"/>
    </row>
    <row r="58" spans="1:9">
      <c r="A58" s="2" t="s">
        <v>117</v>
      </c>
      <c r="B58" s="11">
        <v>43055</v>
      </c>
      <c r="C58" s="3" t="s">
        <v>149</v>
      </c>
      <c r="D58" s="5" t="s">
        <v>144</v>
      </c>
      <c r="E58" s="5" t="s">
        <v>128</v>
      </c>
      <c r="F58" s="3"/>
      <c r="G58" s="5" t="s">
        <v>129</v>
      </c>
      <c r="H58" s="3"/>
    </row>
    <row r="59" spans="1:9">
      <c r="A59" s="2" t="s">
        <v>118</v>
      </c>
      <c r="B59" s="11">
        <v>43053</v>
      </c>
      <c r="C59" s="3" t="s">
        <v>143</v>
      </c>
      <c r="D59" s="5" t="s">
        <v>144</v>
      </c>
      <c r="E59" s="5" t="s">
        <v>128</v>
      </c>
      <c r="F59" s="5" t="s">
        <v>129</v>
      </c>
      <c r="G59" s="3"/>
      <c r="H59" s="3"/>
    </row>
    <row r="60" spans="1:9">
      <c r="A60" s="2" t="s">
        <v>119</v>
      </c>
      <c r="B60" s="11">
        <v>43060</v>
      </c>
      <c r="C60" s="3" t="s">
        <v>148</v>
      </c>
      <c r="D60" s="5" t="s">
        <v>144</v>
      </c>
      <c r="E60" s="5" t="s">
        <v>135</v>
      </c>
      <c r="F60" s="3" t="s">
        <v>136</v>
      </c>
      <c r="G60" s="5" t="s">
        <v>137</v>
      </c>
      <c r="H60" s="3"/>
    </row>
    <row r="61" spans="1:9">
      <c r="A61" s="2" t="s">
        <v>120</v>
      </c>
      <c r="B61" s="11">
        <v>43066</v>
      </c>
      <c r="C61" s="3" t="s">
        <v>146</v>
      </c>
      <c r="D61" s="5" t="s">
        <v>144</v>
      </c>
      <c r="E61" s="4" t="s">
        <v>128</v>
      </c>
      <c r="F61" s="5" t="s">
        <v>138</v>
      </c>
      <c r="G61" s="3"/>
      <c r="H61" s="3"/>
    </row>
    <row r="62" spans="1:9">
      <c r="A62" s="2" t="s">
        <v>303</v>
      </c>
      <c r="B62" s="11">
        <v>43105</v>
      </c>
      <c r="C62" s="3" t="s">
        <v>151</v>
      </c>
      <c r="D62" s="5" t="s">
        <v>144</v>
      </c>
      <c r="E62" s="4" t="s">
        <v>124</v>
      </c>
      <c r="F62" s="5" t="s">
        <v>147</v>
      </c>
      <c r="H62" s="3"/>
      <c r="I62" s="3"/>
    </row>
    <row r="63" spans="1:9">
      <c r="A63" s="2" t="s">
        <v>304</v>
      </c>
      <c r="B63" s="11">
        <v>43122</v>
      </c>
      <c r="C63" s="3" t="s">
        <v>130</v>
      </c>
      <c r="D63" s="5" t="s">
        <v>144</v>
      </c>
      <c r="E63" s="4" t="s">
        <v>128</v>
      </c>
      <c r="F63" s="5" t="s">
        <v>145</v>
      </c>
      <c r="H63" s="3"/>
      <c r="I63" s="3"/>
    </row>
    <row r="64" spans="1:9">
      <c r="A64" s="2" t="s">
        <v>305</v>
      </c>
      <c r="B64" s="11">
        <v>43129</v>
      </c>
      <c r="C64" s="3" t="s">
        <v>148</v>
      </c>
      <c r="D64" s="5" t="s">
        <v>144</v>
      </c>
      <c r="E64" s="4" t="s">
        <v>135</v>
      </c>
      <c r="F64" s="5" t="s">
        <v>138</v>
      </c>
      <c r="H64" s="3"/>
      <c r="I64" s="3"/>
    </row>
    <row r="65" spans="1:13">
      <c r="A65" s="2" t="s">
        <v>306</v>
      </c>
      <c r="B65" s="11">
        <v>43145</v>
      </c>
      <c r="C65" s="7" t="s">
        <v>142</v>
      </c>
      <c r="D65" s="5" t="s">
        <v>144</v>
      </c>
      <c r="E65" s="5" t="s">
        <v>128</v>
      </c>
      <c r="F65" s="5" t="s">
        <v>140</v>
      </c>
      <c r="H65" s="3"/>
      <c r="I65" s="3"/>
    </row>
    <row r="66" spans="1:13">
      <c r="H66" s="2" t="s">
        <v>306</v>
      </c>
      <c r="I66" s="11">
        <v>43145</v>
      </c>
      <c r="J66" s="7" t="s">
        <v>142</v>
      </c>
      <c r="K66" s="5" t="s">
        <v>144</v>
      </c>
      <c r="L66" s="5" t="s">
        <v>128</v>
      </c>
      <c r="M66" s="5" t="s">
        <v>140</v>
      </c>
    </row>
    <row r="67" spans="1:13">
      <c r="H67" s="2" t="s">
        <v>305</v>
      </c>
      <c r="I67" s="11">
        <v>43129</v>
      </c>
      <c r="J67" s="3" t="s">
        <v>148</v>
      </c>
      <c r="K67" s="5" t="s">
        <v>144</v>
      </c>
      <c r="L67" s="4" t="s">
        <v>135</v>
      </c>
      <c r="M67" s="5" t="s">
        <v>138</v>
      </c>
    </row>
    <row r="68" spans="1:13">
      <c r="H68" s="2" t="s">
        <v>304</v>
      </c>
      <c r="I68" s="11">
        <v>43122</v>
      </c>
      <c r="J68" s="3" t="s">
        <v>130</v>
      </c>
      <c r="K68" s="5" t="s">
        <v>144</v>
      </c>
      <c r="L68" s="4" t="s">
        <v>128</v>
      </c>
      <c r="M68" s="5" t="s">
        <v>145</v>
      </c>
    </row>
    <row r="69" spans="1:13">
      <c r="H69" s="2" t="s">
        <v>303</v>
      </c>
      <c r="I69" s="11">
        <v>43105</v>
      </c>
      <c r="J69" s="3" t="s">
        <v>151</v>
      </c>
      <c r="K69" s="5" t="s">
        <v>144</v>
      </c>
      <c r="L69" s="4" t="s">
        <v>124</v>
      </c>
      <c r="M69" s="5" t="s">
        <v>147</v>
      </c>
    </row>
  </sheetData>
  <sortState ref="H66:M69">
    <sortCondition descending="1" ref="I66:I69"/>
  </sortState>
  <hyperlinks>
    <hyperlink ref="A3" r:id="rId1" xr:uid="{00000000-0004-0000-0300-000000000000}"/>
    <hyperlink ref="A4" r:id="rId2" xr:uid="{00000000-0004-0000-0300-000001000000}"/>
    <hyperlink ref="A5" r:id="rId3" xr:uid="{00000000-0004-0000-0300-000002000000}"/>
    <hyperlink ref="A6" r:id="rId4" xr:uid="{00000000-0004-0000-0300-000003000000}"/>
    <hyperlink ref="A7" r:id="rId5" xr:uid="{00000000-0004-0000-0300-000004000000}"/>
    <hyperlink ref="A8" r:id="rId6" xr:uid="{00000000-0004-0000-0300-000005000000}"/>
    <hyperlink ref="A9" r:id="rId7" xr:uid="{00000000-0004-0000-0300-000006000000}"/>
    <hyperlink ref="A10" r:id="rId8" xr:uid="{00000000-0004-0000-0300-000007000000}"/>
    <hyperlink ref="A11" r:id="rId9" xr:uid="{00000000-0004-0000-0300-000008000000}"/>
    <hyperlink ref="A12" r:id="rId10" xr:uid="{00000000-0004-0000-0300-000009000000}"/>
    <hyperlink ref="A13" r:id="rId11" xr:uid="{00000000-0004-0000-0300-00000A000000}"/>
    <hyperlink ref="A14" r:id="rId12" xr:uid="{00000000-0004-0000-0300-00000B000000}"/>
    <hyperlink ref="A15" r:id="rId13" xr:uid="{00000000-0004-0000-0300-00000C000000}"/>
    <hyperlink ref="A16" r:id="rId14" xr:uid="{00000000-0004-0000-0300-00000D000000}"/>
    <hyperlink ref="A17" r:id="rId15" xr:uid="{00000000-0004-0000-0300-00000E000000}"/>
    <hyperlink ref="A18" r:id="rId16" xr:uid="{00000000-0004-0000-0300-00000F000000}"/>
    <hyperlink ref="A19" r:id="rId17" xr:uid="{00000000-0004-0000-0300-000010000000}"/>
    <hyperlink ref="A20" r:id="rId18" xr:uid="{00000000-0004-0000-0300-000011000000}"/>
    <hyperlink ref="A21" r:id="rId19" xr:uid="{00000000-0004-0000-0300-000012000000}"/>
    <hyperlink ref="A22" r:id="rId20" xr:uid="{00000000-0004-0000-0300-000013000000}"/>
    <hyperlink ref="A23" r:id="rId21" xr:uid="{00000000-0004-0000-0300-000014000000}"/>
    <hyperlink ref="A25" r:id="rId22" xr:uid="{00000000-0004-0000-0300-000015000000}"/>
    <hyperlink ref="A26" r:id="rId23" xr:uid="{00000000-0004-0000-0300-000016000000}"/>
    <hyperlink ref="A27" r:id="rId24" xr:uid="{00000000-0004-0000-0300-000017000000}"/>
    <hyperlink ref="A28" r:id="rId25" xr:uid="{00000000-0004-0000-0300-000018000000}"/>
    <hyperlink ref="A29" r:id="rId26" xr:uid="{00000000-0004-0000-0300-000019000000}"/>
    <hyperlink ref="A30" r:id="rId27" xr:uid="{00000000-0004-0000-0300-00001A000000}"/>
    <hyperlink ref="A31" r:id="rId28" xr:uid="{00000000-0004-0000-0300-00001B000000}"/>
    <hyperlink ref="A32" r:id="rId29" xr:uid="{00000000-0004-0000-0300-00001C000000}"/>
    <hyperlink ref="A33" r:id="rId30" xr:uid="{00000000-0004-0000-0300-00001D000000}"/>
    <hyperlink ref="A34" r:id="rId31" xr:uid="{00000000-0004-0000-0300-00001E000000}"/>
    <hyperlink ref="A35" r:id="rId32" xr:uid="{00000000-0004-0000-0300-00001F000000}"/>
    <hyperlink ref="A36" r:id="rId33" xr:uid="{00000000-0004-0000-0300-000020000000}"/>
    <hyperlink ref="A37" r:id="rId34" xr:uid="{00000000-0004-0000-0300-000021000000}"/>
    <hyperlink ref="A38" r:id="rId35" xr:uid="{00000000-0004-0000-0300-000022000000}"/>
    <hyperlink ref="A39" r:id="rId36" xr:uid="{00000000-0004-0000-0300-000023000000}"/>
    <hyperlink ref="A40" r:id="rId37" xr:uid="{00000000-0004-0000-0300-000024000000}"/>
    <hyperlink ref="A41" r:id="rId38" xr:uid="{00000000-0004-0000-0300-000025000000}"/>
    <hyperlink ref="A42" r:id="rId39" xr:uid="{00000000-0004-0000-0300-000026000000}"/>
    <hyperlink ref="A43" r:id="rId40" xr:uid="{00000000-0004-0000-0300-000027000000}"/>
    <hyperlink ref="A44" r:id="rId41" xr:uid="{00000000-0004-0000-0300-000028000000}"/>
    <hyperlink ref="A45" r:id="rId42" xr:uid="{00000000-0004-0000-0300-000029000000}"/>
    <hyperlink ref="A46" r:id="rId43" xr:uid="{00000000-0004-0000-0300-00002A000000}"/>
    <hyperlink ref="A47" r:id="rId44" xr:uid="{00000000-0004-0000-0300-00002B000000}"/>
    <hyperlink ref="A48" r:id="rId45" xr:uid="{00000000-0004-0000-0300-00002C000000}"/>
    <hyperlink ref="A49" r:id="rId46" xr:uid="{00000000-0004-0000-0300-00002D000000}"/>
    <hyperlink ref="A50" r:id="rId47" xr:uid="{00000000-0004-0000-0300-00002E000000}"/>
    <hyperlink ref="A51" r:id="rId48" xr:uid="{00000000-0004-0000-0300-00002F000000}"/>
    <hyperlink ref="A52" r:id="rId49" xr:uid="{00000000-0004-0000-0300-000030000000}"/>
    <hyperlink ref="A53" r:id="rId50" xr:uid="{00000000-0004-0000-0300-000031000000}"/>
    <hyperlink ref="A54" r:id="rId51" xr:uid="{00000000-0004-0000-0300-000032000000}"/>
    <hyperlink ref="A55" r:id="rId52" xr:uid="{00000000-0004-0000-0300-000033000000}"/>
    <hyperlink ref="A56" r:id="rId53" xr:uid="{00000000-0004-0000-0300-000034000000}"/>
    <hyperlink ref="A57" r:id="rId54" xr:uid="{00000000-0004-0000-0300-000035000000}"/>
    <hyperlink ref="A58" r:id="rId55" xr:uid="{00000000-0004-0000-0300-000036000000}"/>
    <hyperlink ref="A59" r:id="rId56" xr:uid="{00000000-0004-0000-0300-000037000000}"/>
    <hyperlink ref="A60" r:id="rId57" xr:uid="{00000000-0004-0000-0300-000038000000}"/>
    <hyperlink ref="A61" r:id="rId58" xr:uid="{00000000-0004-0000-0300-000039000000}"/>
    <hyperlink ref="A62" r:id="rId59" display="https://www.mysuperdispatch.com/" xr:uid="{955A88FD-37F2-DA48-9582-A3B616A7E877}"/>
    <hyperlink ref="A63" r:id="rId60" display="https://www.theminte.com/" xr:uid="{CD844591-8F11-E641-ACDC-8F725B0673A0}"/>
    <hyperlink ref="A64" r:id="rId61" display="https://upsie.com/" xr:uid="{39237E25-A1A9-E446-8993-FF9233341990}"/>
    <hyperlink ref="A65" r:id="rId62" display="https://www.ensodata.io/" xr:uid="{FE8E85D9-A917-0647-A2A6-F434054CFE51}"/>
    <hyperlink ref="H69" r:id="rId63" display="https://www.mysuperdispatch.com/" xr:uid="{45DF30E1-3F2B-424C-BCFA-279F0B72A4D1}"/>
    <hyperlink ref="H68" r:id="rId64" display="https://www.theminte.com/" xr:uid="{7F23A653-0A5F-BC49-A955-18A271DB4E4A}"/>
    <hyperlink ref="H67" r:id="rId65" display="https://upsie.com/" xr:uid="{2851B16E-B387-C644-9E68-28A25D0DD774}"/>
    <hyperlink ref="H66" r:id="rId66" display="https://www.ensodata.io/" xr:uid="{54A3B009-DEEF-2345-8A86-84B2FAD4443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advisors</vt:lpstr>
      <vt:lpstr>team</vt:lpstr>
      <vt:lpstr>portfolio</vt:lpstr>
      <vt:lpstr>portfolio_data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Konduru, Abhinaya</cp:lastModifiedBy>
  <dcterms:created xsi:type="dcterms:W3CDTF">2017-12-14T16:58:19Z</dcterms:created>
  <dcterms:modified xsi:type="dcterms:W3CDTF">2018-02-27T18:08:23Z</dcterms:modified>
</cp:coreProperties>
</file>