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00000000-0000-0000-0000-000000000000}"/>
  <workbookPr codeName="ThisWorkbook"/>
  <mc:AlternateContent xmlns:mc="http://schemas.openxmlformats.org/markup-compatibility/2006">
    <mc:Choice Requires="x15">
      <x15ac:absPath xmlns:x15ac="http://schemas.microsoft.com/office/spreadsheetml/2010/11/ac" url="/Users/abhinaya/Desktop/itsabhinaya.github.io/m25/"/>
    </mc:Choice>
  </mc:AlternateContent>
  <bookViews>
    <workbookView xWindow="940" yWindow="460" windowWidth="27860" windowHeight="17540" tabRatio="500" activeTab="2"/>
  </bookViews>
  <sheets>
    <sheet name="advisors" sheetId="2" r:id="rId1"/>
    <sheet name="team" sheetId="1" r:id="rId2"/>
    <sheet name="portfolio" sheetId="3" r:id="rId3"/>
    <sheet name="portfolio_data" sheetId="4" r:id="rId4"/>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41" i="3" l="1"/>
  <c r="D19" i="3"/>
  <c r="H19" i="3"/>
  <c r="D42" i="3"/>
  <c r="D20" i="3"/>
  <c r="H20" i="3"/>
  <c r="D39" i="3"/>
  <c r="D21" i="3"/>
  <c r="H21" i="3"/>
  <c r="D37" i="3"/>
  <c r="D40" i="3"/>
  <c r="D22" i="3"/>
  <c r="H22" i="3"/>
  <c r="D7" i="3"/>
  <c r="D54" i="3"/>
  <c r="H54" i="3"/>
  <c r="D6" i="3"/>
  <c r="D55" i="3"/>
  <c r="H55" i="3"/>
  <c r="D4" i="3"/>
  <c r="D5" i="3"/>
  <c r="D56" i="3"/>
  <c r="H56" i="3"/>
  <c r="D57" i="3"/>
  <c r="H57" i="3"/>
  <c r="D3" i="3"/>
  <c r="D58" i="3"/>
  <c r="H58" i="3"/>
  <c r="D2" i="3"/>
  <c r="D59" i="3"/>
  <c r="H59" i="3"/>
  <c r="D33" i="3"/>
  <c r="D27" i="3"/>
  <c r="H27" i="3"/>
  <c r="D34" i="3"/>
  <c r="D28" i="3"/>
  <c r="H28" i="3"/>
  <c r="D35" i="3"/>
  <c r="D29" i="3"/>
  <c r="H29" i="3"/>
  <c r="D30" i="3"/>
  <c r="H30" i="3"/>
  <c r="D31" i="3"/>
  <c r="H31" i="3"/>
  <c r="D32" i="3"/>
  <c r="H32" i="3"/>
  <c r="H33" i="3"/>
  <c r="H34" i="3"/>
  <c r="D24" i="3"/>
  <c r="H35" i="3"/>
  <c r="D25" i="3"/>
  <c r="D36" i="3"/>
  <c r="H36" i="3"/>
  <c r="D26" i="3"/>
  <c r="H37" i="3"/>
  <c r="D38" i="3"/>
  <c r="H38" i="3"/>
  <c r="H39" i="3"/>
  <c r="D23" i="3"/>
  <c r="H40" i="3"/>
  <c r="D17" i="3"/>
  <c r="H41" i="3"/>
  <c r="D18" i="3"/>
  <c r="H42" i="3"/>
  <c r="D43" i="3"/>
  <c r="H43" i="3"/>
  <c r="D44" i="3"/>
  <c r="H44" i="3"/>
  <c r="D15" i="3"/>
  <c r="D45" i="3"/>
  <c r="H45" i="3"/>
  <c r="D16" i="3"/>
  <c r="D46" i="3"/>
  <c r="H46" i="3"/>
  <c r="D12" i="3"/>
  <c r="D47" i="3"/>
  <c r="H47" i="3"/>
  <c r="D13" i="3"/>
  <c r="D48" i="3"/>
  <c r="H48" i="3"/>
  <c r="D14" i="3"/>
  <c r="D49" i="3"/>
  <c r="H49" i="3"/>
  <c r="D11" i="3"/>
  <c r="D50" i="3"/>
  <c r="H50" i="3"/>
  <c r="D10" i="3"/>
  <c r="D51" i="3"/>
  <c r="H51" i="3"/>
  <c r="D9" i="3"/>
  <c r="D52" i="3"/>
  <c r="H52" i="3"/>
  <c r="D8" i="3"/>
  <c r="D53" i="3"/>
  <c r="H53" i="3"/>
  <c r="H7" i="3"/>
  <c r="H8" i="3"/>
  <c r="H9" i="3"/>
  <c r="H10" i="3"/>
  <c r="H11" i="3"/>
  <c r="H12" i="3"/>
  <c r="H13" i="3"/>
  <c r="H14" i="3"/>
  <c r="H15" i="3"/>
  <c r="H16" i="3"/>
  <c r="H17" i="3"/>
  <c r="H18" i="3"/>
  <c r="H23" i="3"/>
  <c r="H24" i="3"/>
  <c r="H25" i="3"/>
  <c r="H26" i="3"/>
  <c r="A16" i="3"/>
  <c r="A12" i="3"/>
  <c r="A13" i="3"/>
  <c r="A14" i="3"/>
  <c r="A11" i="3"/>
  <c r="A10" i="3"/>
  <c r="A9" i="3"/>
  <c r="A8" i="3"/>
  <c r="A7" i="3"/>
  <c r="A6" i="3"/>
  <c r="A4" i="3"/>
  <c r="A5" i="3"/>
  <c r="A3" i="3"/>
  <c r="A2" i="3"/>
  <c r="A21" i="3"/>
  <c r="A22" i="3"/>
  <c r="A23" i="3"/>
  <c r="A17" i="3"/>
  <c r="A18" i="3"/>
  <c r="A19" i="3"/>
  <c r="A20" i="3"/>
  <c r="A15" i="3"/>
  <c r="A40" i="3"/>
  <c r="A38" i="3"/>
  <c r="A36" i="3"/>
  <c r="A32" i="3"/>
  <c r="A33" i="3"/>
  <c r="A34" i="3"/>
  <c r="A35" i="3"/>
  <c r="A28" i="3"/>
  <c r="A29" i="3"/>
  <c r="A30" i="3"/>
  <c r="A31" i="3"/>
  <c r="A27" i="3"/>
  <c r="A24" i="3"/>
  <c r="A25" i="3"/>
  <c r="A26" i="3"/>
  <c r="A39" i="3"/>
  <c r="A46" i="3"/>
  <c r="A48" i="3"/>
  <c r="A43" i="3"/>
  <c r="A51" i="3"/>
  <c r="A41" i="3"/>
  <c r="A49" i="3"/>
  <c r="A57" i="3"/>
  <c r="A52" i="3"/>
  <c r="A44" i="3"/>
  <c r="A42" i="3"/>
  <c r="A58" i="3"/>
  <c r="A53" i="3"/>
  <c r="A37" i="3"/>
  <c r="A45" i="3"/>
  <c r="A47" i="3"/>
  <c r="A50" i="3"/>
  <c r="A55" i="3"/>
  <c r="A56" i="3"/>
  <c r="A54" i="3"/>
  <c r="A59" i="3"/>
  <c r="K23" i="4"/>
  <c r="H3" i="3"/>
  <c r="H4" i="3"/>
  <c r="H5" i="3"/>
  <c r="H6" i="3"/>
  <c r="H2" i="3"/>
  <c r="D3" i="2"/>
  <c r="E3" i="2"/>
  <c r="J3" i="2"/>
  <c r="D4" i="2"/>
  <c r="E4" i="2"/>
  <c r="J4" i="2"/>
  <c r="D5" i="2"/>
  <c r="E5" i="2"/>
  <c r="J5" i="2"/>
  <c r="D6" i="2"/>
  <c r="E6" i="2"/>
  <c r="J6" i="2"/>
  <c r="D2" i="2"/>
  <c r="J2" i="2"/>
  <c r="L4" i="1"/>
  <c r="L5" i="1"/>
  <c r="L6" i="1"/>
  <c r="F2" i="1"/>
  <c r="F5" i="1"/>
  <c r="G5" i="1"/>
  <c r="F6" i="1"/>
  <c r="G6" i="1"/>
  <c r="F4" i="1"/>
  <c r="G4" i="1"/>
  <c r="L3" i="1"/>
  <c r="L2" i="1"/>
  <c r="G3" i="1"/>
  <c r="F3" i="1"/>
</calcChain>
</file>

<file path=xl/sharedStrings.xml><?xml version="1.0" encoding="utf-8"?>
<sst xmlns="http://schemas.openxmlformats.org/spreadsheetml/2006/main" count="609" uniqueCount="260">
  <si>
    <t>name</t>
  </si>
  <si>
    <t>title</t>
  </si>
  <si>
    <t>desc</t>
  </si>
  <si>
    <t>twitter</t>
  </si>
  <si>
    <t>medium</t>
  </si>
  <si>
    <t>prev</t>
  </si>
  <si>
    <t>next</t>
  </si>
  <si>
    <t>Victor Gutwein</t>
  </si>
  <si>
    <t>Managing Director &amp; Board Member</t>
  </si>
  <si>
    <t>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t>
  </si>
  <si>
    <t>https://twitter.com/lalayak</t>
  </si>
  <si>
    <t>https://medium.com/@lalayak</t>
  </si>
  <si>
    <t>teamModal2</t>
  </si>
  <si>
    <t>teamModal6</t>
  </si>
  <si>
    <t>current</t>
  </si>
  <si>
    <t>teamModal1</t>
  </si>
  <si>
    <t>img</t>
  </si>
  <si>
    <t>img/team/victor.jpg</t>
  </si>
  <si>
    <t>Mike Asem</t>
  </si>
  <si>
    <t>Director</t>
  </si>
  <si>
    <t>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t>
  </si>
  <si>
    <t>https://twitter.com/DMikeAsem</t>
  </si>
  <si>
    <t>https://medium.com/@dmikeasem</t>
  </si>
  <si>
    <t>teamModal3</t>
  </si>
  <si>
    <t>img/team/mike.jpg</t>
  </si>
  <si>
    <t>Thomas Eggleston</t>
  </si>
  <si>
    <t>Senior Associate</t>
  </si>
  <si>
    <t>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t>
  </si>
  <si>
    <t>https://twitter.com/T3ggleston</t>
  </si>
  <si>
    <t>https://medium.com/@T3ggleston</t>
  </si>
  <si>
    <t>teamModal4</t>
  </si>
  <si>
    <t>teamModal5</t>
  </si>
  <si>
    <t>img/team/thomas.jpg</t>
  </si>
  <si>
    <t>Abhinaya Konduru</t>
  </si>
  <si>
    <t>Analyst</t>
  </si>
  <si>
    <t>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t>
  </si>
  <si>
    <t>https://twitter.com/itsabhinaya</t>
  </si>
  <si>
    <t>https://medium.com/@itsabhinaya</t>
  </si>
  <si>
    <t>img/team/abhinaya.jpg</t>
  </si>
  <si>
    <t>Katherine Schulman</t>
  </si>
  <si>
    <t>Associate</t>
  </si>
  <si>
    <t>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t>
  </si>
  <si>
    <t>https://twitter.com/kpschulman</t>
  </si>
  <si>
    <t>https://medium.com/@kpschulman</t>
  </si>
  <si>
    <t>img/team/katherine.jpg</t>
  </si>
  <si>
    <t>Steve Cittadine</t>
  </si>
  <si>
    <t>Energy</t>
  </si>
  <si>
    <t>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t>
  </si>
  <si>
    <t>img/advisors/steve.jpg</t>
  </si>
  <si>
    <t>Pat East</t>
  </si>
  <si>
    <t>Marketing</t>
  </si>
  <si>
    <t>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t>
  </si>
  <si>
    <t>img/advisors/pat.jpg</t>
  </si>
  <si>
    <t>John Gorup</t>
  </si>
  <si>
    <t>Healthcare, Medicine</t>
  </si>
  <si>
    <t>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t>
  </si>
  <si>
    <t>img/advisors/john.jpg</t>
  </si>
  <si>
    <t>Cary Gutwein</t>
  </si>
  <si>
    <t>Consumer Products, Agriculture, Real Estate</t>
  </si>
  <si>
    <t>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t>
  </si>
  <si>
    <t>img/advisors/cary.jpg</t>
  </si>
  <si>
    <t>Stan Gutwein</t>
  </si>
  <si>
    <t>SaaS, Mobile, Software</t>
  </si>
  <si>
    <t>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t>
  </si>
  <si>
    <t>img/advisors/stan.jpg</t>
  </si>
  <si>
    <t>advisorModal1</t>
  </si>
  <si>
    <t>advisorModal2</t>
  </si>
  <si>
    <t>advisorModal3</t>
  </si>
  <si>
    <t>advisorModal4</t>
  </si>
  <si>
    <t>advisorModal5</t>
  </si>
  <si>
    <t>advisorModal6</t>
  </si>
  <si>
    <t>Company name</t>
  </si>
  <si>
    <t>url</t>
  </si>
  <si>
    <t>class</t>
  </si>
  <si>
    <t>App Press</t>
  </si>
  <si>
    <t>BallotReady</t>
  </si>
  <si>
    <t>Block Six Analytics</t>
  </si>
  <si>
    <t>BoxFox</t>
  </si>
  <si>
    <t>ConceptDrop</t>
  </si>
  <si>
    <t>Dabble</t>
  </si>
  <si>
    <t>Dattus</t>
  </si>
  <si>
    <t>Eastman Egg</t>
  </si>
  <si>
    <t>Glidera</t>
  </si>
  <si>
    <t>Hearken</t>
  </si>
  <si>
    <t>JetPack Workflow</t>
  </si>
  <si>
    <t>Luna Lights</t>
  </si>
  <si>
    <t>Mimir</t>
  </si>
  <si>
    <t>Nativ/Pairade</t>
  </si>
  <si>
    <t>PactSafe</t>
  </si>
  <si>
    <t>Page Vault</t>
  </si>
  <si>
    <t>Regroup Therapy</t>
  </si>
  <si>
    <t>Scanalytics</t>
  </si>
  <si>
    <t>Sentic</t>
  </si>
  <si>
    <t>Skyepack</t>
  </si>
  <si>
    <t>ZipFit</t>
  </si>
  <si>
    <t>Sportsman Tracker</t>
  </si>
  <si>
    <t>ExplORer Surgical</t>
  </si>
  <si>
    <t>Realync</t>
  </si>
  <si>
    <t>KnowledgeHound</t>
  </si>
  <si>
    <t>Rewards21</t>
  </si>
  <si>
    <t>PrintWithMe</t>
  </si>
  <si>
    <t>Spatial</t>
  </si>
  <si>
    <t>Chowly</t>
  </si>
  <si>
    <t>ANGLR</t>
  </si>
  <si>
    <t>Cladwell</t>
  </si>
  <si>
    <t>Branch Messenger</t>
  </si>
  <si>
    <t>Petronics (Sprite Robotics)</t>
  </si>
  <si>
    <t>Costello (Navigait)</t>
  </si>
  <si>
    <t>Astronomer</t>
  </si>
  <si>
    <t>FamilyTech (Choremonster)</t>
  </si>
  <si>
    <t>CompleteSet</t>
  </si>
  <si>
    <t>Rentalutions</t>
  </si>
  <si>
    <t>ScriptDrop</t>
  </si>
  <si>
    <t>Kin (Bright Policy)</t>
  </si>
  <si>
    <t>RapChat</t>
  </si>
  <si>
    <t>Cheddar Getter</t>
  </si>
  <si>
    <t>Opendorse</t>
  </si>
  <si>
    <t>MarkIt Medical</t>
  </si>
  <si>
    <t>DataCubes</t>
  </si>
  <si>
    <t>EmployStream</t>
  </si>
  <si>
    <t>Ryvit</t>
  </si>
  <si>
    <t>Geneticure</t>
  </si>
  <si>
    <t>CFX Markets</t>
  </si>
  <si>
    <t>Idelic Tech</t>
  </si>
  <si>
    <t>BackStitch</t>
  </si>
  <si>
    <t>AMOpportunities</t>
  </si>
  <si>
    <t>Parrable</t>
  </si>
  <si>
    <t>VirtualKey</t>
  </si>
  <si>
    <t>Hippo Manager</t>
  </si>
  <si>
    <t>ChangeDynamix</t>
  </si>
  <si>
    <t>Bizzy Coffee</t>
  </si>
  <si>
    <t>SafeChain</t>
  </si>
  <si>
    <t>PortCo</t>
  </si>
  <si>
    <t>State</t>
  </si>
  <si>
    <t>Fund Type</t>
  </si>
  <si>
    <t>B2B, B2C</t>
  </si>
  <si>
    <t>Industry Categories (multiple if needed</t>
  </si>
  <si>
    <t>IN</t>
  </si>
  <si>
    <t>funds1</t>
  </si>
  <si>
    <t>B2B</t>
  </si>
  <si>
    <t>Enterprise Software</t>
  </si>
  <si>
    <t>IL</t>
  </si>
  <si>
    <t>Education, Government &amp; Law</t>
  </si>
  <si>
    <t>Analytics, Big Data &amp; IOT</t>
  </si>
  <si>
    <t>Entertainment, Media &amp; Sports</t>
  </si>
  <si>
    <t>Ecommerce</t>
  </si>
  <si>
    <t>B2C</t>
  </si>
  <si>
    <t>Food &amp; Beverage</t>
  </si>
  <si>
    <t>Other</t>
  </si>
  <si>
    <t>Finance &amp; Banking</t>
  </si>
  <si>
    <t>PA</t>
  </si>
  <si>
    <t>Healthcare</t>
  </si>
  <si>
    <t>Consumer Apps</t>
  </si>
  <si>
    <t>WI</t>
  </si>
  <si>
    <t>MI</t>
  </si>
  <si>
    <t>funds2</t>
  </si>
  <si>
    <t>Real Estate</t>
  </si>
  <si>
    <t>OH</t>
  </si>
  <si>
    <t>Transportation &amp; Logistics</t>
  </si>
  <si>
    <t>MN</t>
  </si>
  <si>
    <t>KY</t>
  </si>
  <si>
    <t>NE</t>
  </si>
  <si>
    <t>MO</t>
  </si>
  <si>
    <t>Date of Close</t>
  </si>
  <si>
    <t>business_B2B</t>
  </si>
  <si>
    <t>business_B2B business_B2C</t>
  </si>
  <si>
    <t>business_B2C</t>
  </si>
  <si>
    <t>industry_analytics</t>
  </si>
  <si>
    <t>industry_apps</t>
  </si>
  <si>
    <t>industry_ecommerce</t>
  </si>
  <si>
    <t>industry_education</t>
  </si>
  <si>
    <t>industry_enterprise</t>
  </si>
  <si>
    <t>industry_entertainment</t>
  </si>
  <si>
    <t>industry_finance</t>
  </si>
  <si>
    <t>industry_food</t>
  </si>
  <si>
    <t>industry_healthcare</t>
  </si>
  <si>
    <t>industry_marketing</t>
  </si>
  <si>
    <t>industry_other</t>
  </si>
  <si>
    <t>industry_realestate</t>
  </si>
  <si>
    <t>industry_transportation</t>
  </si>
  <si>
    <t>Date</t>
  </si>
  <si>
    <t>BlockSixAnalytics</t>
  </si>
  <si>
    <t>AppPress</t>
  </si>
  <si>
    <t>https://www.app-press.com/</t>
  </si>
  <si>
    <t>http://www.ballotready.org/</t>
  </si>
  <si>
    <t>http://www.blocksixanalytics.com/</t>
  </si>
  <si>
    <t>http://www.boxfox.co/</t>
  </si>
  <si>
    <t>http://conceptdrop.com/</t>
  </si>
  <si>
    <t>http://www.dabble.co/</t>
  </si>
  <si>
    <t>https://www.dattus.com/</t>
  </si>
  <si>
    <t>http://eastmanegg.com/</t>
  </si>
  <si>
    <t>https://www.glidera.io/</t>
  </si>
  <si>
    <t>http://www.wearehearken.com/</t>
  </si>
  <si>
    <t>http://jetpackworkflow.com/</t>
  </si>
  <si>
    <t>http://www.lunalights.org/</t>
  </si>
  <si>
    <t>https://mimirhq.com/</t>
  </si>
  <si>
    <t>http://pairade.com/</t>
  </si>
  <si>
    <t>https://www.pactsafe.com/</t>
  </si>
  <si>
    <t>https://www.page-vault.com/</t>
  </si>
  <si>
    <t>https://regrouptherapy.com/</t>
  </si>
  <si>
    <t>http://www.scanalyticsinc.com/</t>
  </si>
  <si>
    <t>http://www.sentictechnologies.com/</t>
  </si>
  <si>
    <t>http://www.skyepack.com/</t>
  </si>
  <si>
    <t>http://www.zipfitdenim.com/</t>
  </si>
  <si>
    <t>https://sportsmantracker.com/</t>
  </si>
  <si>
    <t>http://explorersurgical.com/</t>
  </si>
  <si>
    <t>https://realync.com/</t>
  </si>
  <si>
    <t>http://www.knowledgehound.com/</t>
  </si>
  <si>
    <t>https://www.rewards21.com/</t>
  </si>
  <si>
    <t>http://www.printwithme.com/</t>
  </si>
  <si>
    <t>http://spatial.ai/</t>
  </si>
  <si>
    <t>https://www.chowlyinc.com/</t>
  </si>
  <si>
    <t>https://anglr.com/</t>
  </si>
  <si>
    <t>https://cladwell.com/</t>
  </si>
  <si>
    <t>http://www.branchmessenger.com/</t>
  </si>
  <si>
    <t>http://www.petronics.io/</t>
  </si>
  <si>
    <t>https://andcostello.com/</t>
  </si>
  <si>
    <t>https://www.astronomer.io/</t>
  </si>
  <si>
    <t>http://familytech.com/</t>
  </si>
  <si>
    <t>http://www.completeset.com/</t>
  </si>
  <si>
    <t>http://www.rentalutions.com/</t>
  </si>
  <si>
    <t>http://www.scriptdrop.co/</t>
  </si>
  <si>
    <t>https://www.kin.us/</t>
  </si>
  <si>
    <t>http://rapchat.me/</t>
  </si>
  <si>
    <t>https://cheddargetter.com/</t>
  </si>
  <si>
    <t>http://opendorse.com/</t>
  </si>
  <si>
    <t>http://www.markitmedical.com/</t>
  </si>
  <si>
    <t>https://www.datacubes.com/</t>
  </si>
  <si>
    <t>http://www.employstream.com/</t>
  </si>
  <si>
    <t>https://ryvit.com/</t>
  </si>
  <si>
    <t>https://www.geneticure.com/</t>
  </si>
  <si>
    <t>https://cfxtrading.com/</t>
  </si>
  <si>
    <t>http://www.idelictech.com/</t>
  </si>
  <si>
    <t>http://backstitch.io/</t>
  </si>
  <si>
    <t>https://www.amopportunities.org/</t>
  </si>
  <si>
    <t>https://www.parrable.com/</t>
  </si>
  <si>
    <t>http://www.virtualkey.co/</t>
  </si>
  <si>
    <t>https://hippomanager.com/</t>
  </si>
  <si>
    <t>https://changedynamix.io/</t>
  </si>
  <si>
    <t>https://www.bizzycoffee.com/</t>
  </si>
  <si>
    <t>https://www.safechain.io/</t>
  </si>
  <si>
    <t>EastmanEgg</t>
  </si>
  <si>
    <t>JetPackWorkflow</t>
  </si>
  <si>
    <t>LunaLights</t>
  </si>
  <si>
    <t>Pairade</t>
  </si>
  <si>
    <t>RegroupTherapy</t>
  </si>
  <si>
    <t>PageVault</t>
  </si>
  <si>
    <t>SportsmanTracker</t>
  </si>
  <si>
    <t>ExplORerSurgical</t>
  </si>
  <si>
    <t>BranchMessenger</t>
  </si>
  <si>
    <t>Petronics</t>
  </si>
  <si>
    <t>Costello</t>
  </si>
  <si>
    <t>FamilyTech</t>
  </si>
  <si>
    <t>Kin</t>
  </si>
  <si>
    <t>CheddarGetter</t>
  </si>
  <si>
    <t>MarkItMedical</t>
  </si>
  <si>
    <t>CFXMarkets</t>
  </si>
  <si>
    <t>IdelicTech</t>
  </si>
  <si>
    <t>HippoManager</t>
  </si>
  <si>
    <t>BizzyCoffee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</si>
</sst>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10"/>
      <color theme="1"/>
      <name val="Arial"/>
      <family val="2"/>
    </font>
    <font>
      <b/>
      <sz val="10"/>
      <color theme="1"/>
      <name val="Arial"/>
      <family val="2"/>
    </font>
    <font>
      <b/>
      <sz val="11"/>
      <color rgb="FF000000"/>
      <name val="Oxygen"/>
    </font>
    <font>
      <b/>
      <sz val="11"/>
      <color theme="1"/>
      <name val="Oxygen"/>
    </font>
    <font>
      <sz val="11"/>
      <color rgb="FF000000"/>
      <name val="Inconsolata"/>
    </font>
    <font>
      <sz val="11"/>
      <color theme="1"/>
      <name val="Oxygen"/>
    </font>
  </fonts>
  <fills count="2">
    <fill>
      <patternFill patternType="none"/>
    </fill>
    <fill>
      <patternFill patternType="gray125"/>
    </fill>
  </fills>
  <borders count="1">
    <border>
      <left/>
      <right/>
      <top/>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2">
    <xf numFmtId="0" fontId="0" fillId="0" borderId="0" xfId="0"/>
    <xf numFmtId="0" fontId="3" fillId="0" borderId="0" xfId="0" applyFont="1"/>
    <xf numFmtId="0" fontId="1" fillId="0" borderId="0" xfId="5"/>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17" fontId="0" fillId="0" borderId="0" xfId="0" applyNumberFormat="1"/>
    <xf numFmtId="17" fontId="9" fillId="0" borderId="0" xfId="0" applyNumberFormat="1" applyFont="1"/>
    <xf numFmtId="14" fontId="9" fillId="0" borderId="0" xfId="0" applyNumberFormat="1" applyFont="1"/>
    <xf numFmtId="14" fontId="4" fillId="0" borderId="0" xfId="0" applyNumberFormat="1" applyFont="1"/>
  </cellXfs>
  <cellStyles count="6">
    <cellStyle name="Followed Hyperlink" xfId="2" builtinId="9" hidden="1"/>
    <cellStyle name="Followed Hyperlink" xfId="4" builtinId="9" hidden="1"/>
    <cellStyle name="Hyperlink" xfId="1" builtinId="8" hidden="1"/>
    <cellStyle name="Hyperlink" xfId="3" builtinId="8" hidden="1"/>
    <cellStyle name="Hyperlink" xfId="5"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3" Type="http://schemas.openxmlformats.org/officeDocument/2006/relationships/hyperlink" Target="https://mimirhq.com/" TargetMode="External"/><Relationship Id="rId14" Type="http://schemas.openxmlformats.org/officeDocument/2006/relationships/hyperlink" Target="http://pairade.com/" TargetMode="External"/><Relationship Id="rId15" Type="http://schemas.openxmlformats.org/officeDocument/2006/relationships/hyperlink" Target="https://www.pactsafe.com/" TargetMode="External"/><Relationship Id="rId16" Type="http://schemas.openxmlformats.org/officeDocument/2006/relationships/hyperlink" Target="https://www.page-vault.com/" TargetMode="External"/><Relationship Id="rId17" Type="http://schemas.openxmlformats.org/officeDocument/2006/relationships/hyperlink" Target="https://regrouptherapy.com/" TargetMode="External"/><Relationship Id="rId18" Type="http://schemas.openxmlformats.org/officeDocument/2006/relationships/hyperlink" Target="http://www.scanalyticsinc.com/" TargetMode="External"/><Relationship Id="rId19" Type="http://schemas.openxmlformats.org/officeDocument/2006/relationships/hyperlink" Target="http://www.sentictechnologies.com/" TargetMode="External"/><Relationship Id="rId50" Type="http://schemas.openxmlformats.org/officeDocument/2006/relationships/hyperlink" Target="http://www.idelictech.com/" TargetMode="External"/><Relationship Id="rId51" Type="http://schemas.openxmlformats.org/officeDocument/2006/relationships/hyperlink" Target="http://backstitch.io/" TargetMode="External"/><Relationship Id="rId52" Type="http://schemas.openxmlformats.org/officeDocument/2006/relationships/hyperlink" Target="https://www.amopportunities.org/" TargetMode="External"/><Relationship Id="rId53" Type="http://schemas.openxmlformats.org/officeDocument/2006/relationships/hyperlink" Target="https://www.parrable.com/" TargetMode="External"/><Relationship Id="rId54" Type="http://schemas.openxmlformats.org/officeDocument/2006/relationships/hyperlink" Target="http://www.virtualkey.co/" TargetMode="External"/><Relationship Id="rId55" Type="http://schemas.openxmlformats.org/officeDocument/2006/relationships/hyperlink" Target="https://hippomanager.com/" TargetMode="External"/><Relationship Id="rId56" Type="http://schemas.openxmlformats.org/officeDocument/2006/relationships/hyperlink" Target="https://changedynamix.io/" TargetMode="External"/><Relationship Id="rId57" Type="http://schemas.openxmlformats.org/officeDocument/2006/relationships/hyperlink" Target="https://www.bizzycoffee.com/" TargetMode="External"/><Relationship Id="rId58" Type="http://schemas.openxmlformats.org/officeDocument/2006/relationships/hyperlink" Target="https://www.safechain.io/" TargetMode="External"/><Relationship Id="rId40" Type="http://schemas.openxmlformats.org/officeDocument/2006/relationships/hyperlink" Target="https://www.kin.us/" TargetMode="External"/><Relationship Id="rId41" Type="http://schemas.openxmlformats.org/officeDocument/2006/relationships/hyperlink" Target="http://rapchat.me/" TargetMode="External"/><Relationship Id="rId42" Type="http://schemas.openxmlformats.org/officeDocument/2006/relationships/hyperlink" Target="https://cheddargetter.com/" TargetMode="External"/><Relationship Id="rId43" Type="http://schemas.openxmlformats.org/officeDocument/2006/relationships/hyperlink" Target="http://opendorse.com/" TargetMode="External"/><Relationship Id="rId44" Type="http://schemas.openxmlformats.org/officeDocument/2006/relationships/hyperlink" Target="http://www.markitmedical.com/" TargetMode="External"/><Relationship Id="rId45" Type="http://schemas.openxmlformats.org/officeDocument/2006/relationships/hyperlink" Target="https://www.datacubes.com/" TargetMode="External"/><Relationship Id="rId46" Type="http://schemas.openxmlformats.org/officeDocument/2006/relationships/hyperlink" Target="http://www.employstream.com/" TargetMode="External"/><Relationship Id="rId47" Type="http://schemas.openxmlformats.org/officeDocument/2006/relationships/hyperlink" Target="https://ryvit.com/" TargetMode="External"/><Relationship Id="rId48" Type="http://schemas.openxmlformats.org/officeDocument/2006/relationships/hyperlink" Target="https://www.geneticure.com/" TargetMode="External"/><Relationship Id="rId49" Type="http://schemas.openxmlformats.org/officeDocument/2006/relationships/hyperlink" Target="https://cfxtrading.com/" TargetMode="External"/><Relationship Id="rId1" Type="http://schemas.openxmlformats.org/officeDocument/2006/relationships/hyperlink" Target="https://www.app-press.com/" TargetMode="External"/><Relationship Id="rId2" Type="http://schemas.openxmlformats.org/officeDocument/2006/relationships/hyperlink" Target="http://www.ballotready.org/" TargetMode="External"/><Relationship Id="rId3" Type="http://schemas.openxmlformats.org/officeDocument/2006/relationships/hyperlink" Target="http://www.blocksixanalytics.com/" TargetMode="External"/><Relationship Id="rId4" Type="http://schemas.openxmlformats.org/officeDocument/2006/relationships/hyperlink" Target="http://www.boxfox.co/" TargetMode="External"/><Relationship Id="rId5" Type="http://schemas.openxmlformats.org/officeDocument/2006/relationships/hyperlink" Target="http://conceptdrop.com/" TargetMode="External"/><Relationship Id="rId6" Type="http://schemas.openxmlformats.org/officeDocument/2006/relationships/hyperlink" Target="http://www.dabble.co/" TargetMode="External"/><Relationship Id="rId7" Type="http://schemas.openxmlformats.org/officeDocument/2006/relationships/hyperlink" Target="https://www.dattus.com/" TargetMode="External"/><Relationship Id="rId8" Type="http://schemas.openxmlformats.org/officeDocument/2006/relationships/hyperlink" Target="http://eastmanegg.com/" TargetMode="External"/><Relationship Id="rId9" Type="http://schemas.openxmlformats.org/officeDocument/2006/relationships/hyperlink" Target="https://www.glidera.io/" TargetMode="External"/><Relationship Id="rId30" Type="http://schemas.openxmlformats.org/officeDocument/2006/relationships/hyperlink" Target="https://anglr.com/" TargetMode="External"/><Relationship Id="rId31" Type="http://schemas.openxmlformats.org/officeDocument/2006/relationships/hyperlink" Target="https://cladwell.com/" TargetMode="External"/><Relationship Id="rId32" Type="http://schemas.openxmlformats.org/officeDocument/2006/relationships/hyperlink" Target="http://www.branchmessenger.com/" TargetMode="External"/><Relationship Id="rId33" Type="http://schemas.openxmlformats.org/officeDocument/2006/relationships/hyperlink" Target="http://www.petronics.io/" TargetMode="External"/><Relationship Id="rId34" Type="http://schemas.openxmlformats.org/officeDocument/2006/relationships/hyperlink" Target="https://andcostello.com/" TargetMode="External"/><Relationship Id="rId35" Type="http://schemas.openxmlformats.org/officeDocument/2006/relationships/hyperlink" Target="https://www.astronomer.io/" TargetMode="External"/><Relationship Id="rId36" Type="http://schemas.openxmlformats.org/officeDocument/2006/relationships/hyperlink" Target="http://familytech.com/" TargetMode="External"/><Relationship Id="rId37" Type="http://schemas.openxmlformats.org/officeDocument/2006/relationships/hyperlink" Target="http://www.completeset.com/" TargetMode="External"/><Relationship Id="rId38" Type="http://schemas.openxmlformats.org/officeDocument/2006/relationships/hyperlink" Target="http://www.rentalutions.com/" TargetMode="External"/><Relationship Id="rId39" Type="http://schemas.openxmlformats.org/officeDocument/2006/relationships/hyperlink" Target="http://www.scriptdrop.co/" TargetMode="External"/><Relationship Id="rId20" Type="http://schemas.openxmlformats.org/officeDocument/2006/relationships/hyperlink" Target="http://www.skyepack.com/" TargetMode="External"/><Relationship Id="rId21" Type="http://schemas.openxmlformats.org/officeDocument/2006/relationships/hyperlink" Target="http://www.zipfitdenim.com/" TargetMode="External"/><Relationship Id="rId22" Type="http://schemas.openxmlformats.org/officeDocument/2006/relationships/hyperlink" Target="https://sportsmantracker.com/" TargetMode="External"/><Relationship Id="rId23" Type="http://schemas.openxmlformats.org/officeDocument/2006/relationships/hyperlink" Target="http://explorersurgical.com/" TargetMode="External"/><Relationship Id="rId24" Type="http://schemas.openxmlformats.org/officeDocument/2006/relationships/hyperlink" Target="https://realync.com/" TargetMode="External"/><Relationship Id="rId25" Type="http://schemas.openxmlformats.org/officeDocument/2006/relationships/hyperlink" Target="http://www.knowledgehound.com/" TargetMode="External"/><Relationship Id="rId26" Type="http://schemas.openxmlformats.org/officeDocument/2006/relationships/hyperlink" Target="https://www.rewards21.com/" TargetMode="External"/><Relationship Id="rId27" Type="http://schemas.openxmlformats.org/officeDocument/2006/relationships/hyperlink" Target="http://www.printwithme.com/" TargetMode="External"/><Relationship Id="rId28" Type="http://schemas.openxmlformats.org/officeDocument/2006/relationships/hyperlink" Target="http://spatial.ai/" TargetMode="External"/><Relationship Id="rId29" Type="http://schemas.openxmlformats.org/officeDocument/2006/relationships/hyperlink" Target="https://www.chowlyinc.com/" TargetMode="External"/><Relationship Id="rId10" Type="http://schemas.openxmlformats.org/officeDocument/2006/relationships/hyperlink" Target="http://www.wearehearken.com/" TargetMode="External"/><Relationship Id="rId11" Type="http://schemas.openxmlformats.org/officeDocument/2006/relationships/hyperlink" Target="http://jetpackworkflow.com/" TargetMode="External"/><Relationship Id="rId12" Type="http://schemas.openxmlformats.org/officeDocument/2006/relationships/hyperlink" Target="http://www.lunalights.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6"/>
  <sheetViews>
    <sheetView workbookViewId="0">
      <selection activeCell="J2" sqref="J2:J6"/>
    </sheetView>
  </sheetViews>
  <sheetFormatPr baseColWidth="10" defaultRowHeight="16" x14ac:dyDescent="0.2"/>
  <sheetData>
    <row r="1" spans="1:10" x14ac:dyDescent="0.2">
      <c r="A1" t="s">
        <v>0</v>
      </c>
      <c r="B1" t="s">
        <v>1</v>
      </c>
      <c r="C1" t="s">
        <v>2</v>
      </c>
      <c r="D1" t="s">
        <v>5</v>
      </c>
      <c r="E1" t="s">
        <v>14</v>
      </c>
      <c r="F1" t="s">
        <v>6</v>
      </c>
      <c r="G1" t="s">
        <v>16</v>
      </c>
    </row>
    <row r="2" spans="1:10" x14ac:dyDescent="0.2">
      <c r="A2" t="s">
        <v>45</v>
      </c>
      <c r="B2" t="s">
        <v>46</v>
      </c>
      <c r="C2" t="s">
        <v>47</v>
      </c>
      <c r="D2" t="str">
        <f>LOOKUP(2,1/(F:F&lt;&gt;""),F:F)</f>
        <v>advisorModal6</v>
      </c>
      <c r="E2" t="s">
        <v>65</v>
      </c>
      <c r="F2" t="s">
        <v>66</v>
      </c>
      <c r="G2" t="s">
        <v>48</v>
      </c>
      <c r="J2" t="str">
        <f>"{"&amp;$A$1&amp;":"&amp;" """&amp;A2&amp;""""&amp;", "&amp;$B$1&amp;":"&amp;" """&amp;B2&amp;""""&amp;" ,"&amp;$C$1&amp;":"&amp;" """&amp;C2&amp;""""&amp;" ,"&amp;$D$1&amp;":"&amp;" """&amp;D2&amp;""""&amp;" ,"&amp;$E$1&amp;":"&amp;" """&amp;E2&amp;""""&amp;" ,"&amp;$F$1&amp;":"&amp;" """&amp;F2&amp;""""&amp;" ,"&amp;$G$1&amp;":"&amp;" """&amp;G2&amp;""""&amp;"},"</f>
        <v>{name: "Steve Cittadine", title: "Energy" ,desc: "Steve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 ,prev: "advisorModal6" ,current: "advisorModal1" ,next: "advisorModal2" ,img: "img/advisors/steve.jpg"},</v>
      </c>
    </row>
    <row r="3" spans="1:10" x14ac:dyDescent="0.2">
      <c r="A3" t="s">
        <v>49</v>
      </c>
      <c r="B3" t="s">
        <v>50</v>
      </c>
      <c r="C3" t="s">
        <v>51</v>
      </c>
      <c r="D3" t="str">
        <f>E2</f>
        <v>advisorModal1</v>
      </c>
      <c r="E3" t="str">
        <f>F2</f>
        <v>advisorModal2</v>
      </c>
      <c r="F3" t="s">
        <v>67</v>
      </c>
      <c r="G3" t="s">
        <v>52</v>
      </c>
      <c r="J3" t="str">
        <f t="shared" ref="J3:J6" si="0">"{"&amp;$A$1&amp;":"&amp;" """&amp;A3&amp;""""&amp;", "&amp;$B$1&amp;":"&amp;" """&amp;B3&amp;""""&amp;" ,"&amp;$C$1&amp;":"&amp;" """&amp;C3&amp;""""&amp;" ,"&amp;$D$1&amp;":"&amp;" """&amp;D3&amp;""""&amp;" ,"&amp;$E$1&amp;":"&amp;" """&amp;E3&amp;""""&amp;" ,"&amp;$F$1&amp;":"&amp;" """&amp;F3&amp;""""&amp;" ,"&amp;$G$1&amp;":"&amp;" """&amp;G3&amp;""""&amp;"},"</f>
        <v>{name: "Pat East", title: "Marketing" ,desc: "Pat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 ,prev: "advisorModal1" ,current: "advisorModal2" ,next: "advisorModal3" ,img: "img/advisors/pat.jpg"},</v>
      </c>
    </row>
    <row r="4" spans="1:10" x14ac:dyDescent="0.2">
      <c r="A4" t="s">
        <v>53</v>
      </c>
      <c r="B4" t="s">
        <v>54</v>
      </c>
      <c r="C4" t="s">
        <v>55</v>
      </c>
      <c r="D4" t="str">
        <f>E3</f>
        <v>advisorModal2</v>
      </c>
      <c r="E4" t="str">
        <f>F3</f>
        <v>advisorModal3</v>
      </c>
      <c r="F4" t="s">
        <v>68</v>
      </c>
      <c r="G4" t="s">
        <v>56</v>
      </c>
      <c r="J4" t="str">
        <f t="shared" si="0"/>
        <v>{name: "John Gorup", title: "Healthcare, Medicine" ,desc: "John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 ,prev: "advisorModal2" ,current: "advisorModal3" ,next: "advisorModal4" ,img: "img/advisors/john.jpg"},</v>
      </c>
    </row>
    <row r="5" spans="1:10" x14ac:dyDescent="0.2">
      <c r="A5" t="s">
        <v>57</v>
      </c>
      <c r="B5" t="s">
        <v>58</v>
      </c>
      <c r="C5" t="s">
        <v>59</v>
      </c>
      <c r="D5" t="str">
        <f t="shared" ref="D5:E6" si="1">E4</f>
        <v>advisorModal3</v>
      </c>
      <c r="E5" t="str">
        <f t="shared" si="1"/>
        <v>advisorModal4</v>
      </c>
      <c r="F5" t="s">
        <v>69</v>
      </c>
      <c r="G5" t="s">
        <v>60</v>
      </c>
      <c r="J5" t="str">
        <f t="shared" si="0"/>
        <v>{name: "Cary Gutwein", title: "Consumer Products, Agriculture, Real Estate" ,desc: "Cary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 ,prev: "advisorModal3" ,current: "advisorModal4" ,next: "advisorModal5" ,img: "img/advisors/cary.jpg"},</v>
      </c>
    </row>
    <row r="6" spans="1:10" x14ac:dyDescent="0.2">
      <c r="A6" t="s">
        <v>61</v>
      </c>
      <c r="B6" t="s">
        <v>62</v>
      </c>
      <c r="C6" t="s">
        <v>63</v>
      </c>
      <c r="D6" t="str">
        <f t="shared" si="1"/>
        <v>advisorModal4</v>
      </c>
      <c r="E6" t="str">
        <f t="shared" si="1"/>
        <v>advisorModal5</v>
      </c>
      <c r="F6" t="s">
        <v>70</v>
      </c>
      <c r="G6" s="1" t="s">
        <v>64</v>
      </c>
      <c r="J6" t="str">
        <f t="shared" si="0"/>
        <v>{name: "Stan Gutwein", title: "SaaS, Mobile, Software" ,desc: "Stan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 ,prev: "advisorModal4" ,current: "advisorModal5" ,next: "advisorModal6" ,img: "img/advisors/stan.jpg"},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L6"/>
  <sheetViews>
    <sheetView workbookViewId="0">
      <selection activeCell="C31" sqref="C31"/>
    </sheetView>
  </sheetViews>
  <sheetFormatPr baseColWidth="10" defaultRowHeight="16" x14ac:dyDescent="0.2"/>
  <sheetData>
    <row r="1" spans="1:12" x14ac:dyDescent="0.2">
      <c r="A1" t="s">
        <v>0</v>
      </c>
      <c r="B1" t="s">
        <v>1</v>
      </c>
      <c r="C1" t="s">
        <v>2</v>
      </c>
      <c r="D1" t="s">
        <v>3</v>
      </c>
      <c r="E1" t="s">
        <v>4</v>
      </c>
      <c r="F1" t="s">
        <v>5</v>
      </c>
      <c r="G1" t="s">
        <v>14</v>
      </c>
      <c r="H1" t="s">
        <v>6</v>
      </c>
      <c r="I1" t="s">
        <v>16</v>
      </c>
    </row>
    <row r="2" spans="1:12" x14ac:dyDescent="0.2">
      <c r="A2" t="s">
        <v>7</v>
      </c>
      <c r="B2" t="s">
        <v>8</v>
      </c>
      <c r="C2" t="s">
        <v>9</v>
      </c>
      <c r="D2" t="s">
        <v>10</v>
      </c>
      <c r="E2" t="s">
        <v>11</v>
      </c>
      <c r="F2" t="str">
        <f>LOOKUP(2,1/(H:H&lt;&gt;""),H:H)</f>
        <v>teamModal6</v>
      </c>
      <c r="G2" t="s">
        <v>15</v>
      </c>
      <c r="H2" t="s">
        <v>12</v>
      </c>
      <c r="I2" t="s">
        <v>17</v>
      </c>
      <c r="L2" t="str">
        <f>"{"&amp;$A$1&amp;":"&amp;" """&amp;A2&amp;""""&amp;", "&amp;$B$1&amp;":"&amp;" """&amp;B2&amp;""""&amp;" ,"&amp;$C$1&amp;":"&amp;" """&amp;C2&amp;""""&amp;" ,"&amp;$D$1&amp;":"&amp;" """&amp;D2&amp;""""&amp;" ,"&amp;$E$1&amp;":"&amp;" """&amp;E2&amp;""""&amp;" ,"&amp;$F$1&amp;":"&amp;" """&amp;F2&amp;""""&amp;" ,"&amp;$G$1&amp;":"&amp;" """&amp;G2&amp;""""&amp;" ,"&amp;$H$1&amp;":"&amp;" """&amp;H2&amp;""""&amp;" ,"&amp;$I$1&amp;":"&amp;" """&amp;I2&amp;""""&amp;"},"</f>
        <v>{name: "Victor Gutwein", title: "Managing Director &amp; Board Member" ,desc: "Victor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 ,twitter: "https://twitter.com/lalayak" ,medium: "https://medium.com/@lalayak" ,prev: "teamModal6" ,current: "teamModal1" ,next: "teamModal2" ,img: "img/team/victor.jpg"},</v>
      </c>
    </row>
    <row r="3" spans="1:12" x14ac:dyDescent="0.2">
      <c r="A3" t="s">
        <v>18</v>
      </c>
      <c r="B3" t="s">
        <v>19</v>
      </c>
      <c r="C3" t="s">
        <v>20</v>
      </c>
      <c r="D3" t="s">
        <v>21</v>
      </c>
      <c r="E3" t="s">
        <v>22</v>
      </c>
      <c r="F3" t="str">
        <f>G2</f>
        <v>teamModal1</v>
      </c>
      <c r="G3" t="str">
        <f>H2</f>
        <v>teamModal2</v>
      </c>
      <c r="H3" t="s">
        <v>23</v>
      </c>
      <c r="I3" t="s">
        <v>24</v>
      </c>
      <c r="L3" t="str">
        <f>"{"&amp;$A$1&amp;":"&amp;" """&amp;A3&amp;""""&amp;", "&amp;$B$1&amp;":"&amp;" """&amp;B3&amp;""""&amp;" ,"&amp;$C$1&amp;":"&amp;" """&amp;C3&amp;""""&amp;" ,"&amp;$D$1&amp;":"&amp;" """&amp;D3&amp;""""&amp;" ,"&amp;$E$1&amp;":"&amp;" """&amp;E3&amp;""""&amp;" ,"&amp;$F$1&amp;":"&amp;" """&amp;F3&amp;""""&amp;" ,"&amp;$G$1&amp;":"&amp;" """&amp;G3&amp;""""&amp;" ,"&amp;$H$1&amp;":"&amp;" """&amp;H3&amp;""""&amp;" ,"&amp;$I$1&amp;":"&amp;" """&amp;I3&amp;""""&amp;"},"</f>
        <v>{name: "Mike Asem", title: "Director" ,desc: "While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 ,twitter: "https://twitter.com/DMikeAsem" ,medium: "https://medium.com/@dmikeasem" ,prev: "teamModal1" ,current: "teamModal2" ,next: "teamModal3" ,img: "img/team/mike.jpg"},</v>
      </c>
    </row>
    <row r="4" spans="1:12" x14ac:dyDescent="0.2">
      <c r="A4" t="s">
        <v>25</v>
      </c>
      <c r="B4" t="s">
        <v>26</v>
      </c>
      <c r="C4" t="s">
        <v>27</v>
      </c>
      <c r="D4" t="s">
        <v>28</v>
      </c>
      <c r="E4" t="s">
        <v>29</v>
      </c>
      <c r="F4" t="str">
        <f>G3</f>
        <v>teamModal2</v>
      </c>
      <c r="G4" t="str">
        <f>H3</f>
        <v>teamModal3</v>
      </c>
      <c r="H4" t="s">
        <v>30</v>
      </c>
      <c r="I4" t="s">
        <v>32</v>
      </c>
      <c r="L4" t="str">
        <f t="shared" ref="L4:L6" si="0">"{"&amp;$A$1&amp;":"&amp;" """&amp;A4&amp;""""&amp;", "&amp;$B$1&amp;":"&amp;" """&amp;B4&amp;""""&amp;" ,"&amp;$C$1&amp;":"&amp;" """&amp;C4&amp;""""&amp;" ,"&amp;$D$1&amp;":"&amp;" """&amp;D4&amp;""""&amp;" ,"&amp;$E$1&amp;":"&amp;" """&amp;E4&amp;""""&amp;" ,"&amp;$F$1&amp;":"&amp;" """&amp;F4&amp;""""&amp;" ,"&amp;$G$1&amp;":"&amp;" """&amp;G4&amp;""""&amp;" ,"&amp;$H$1&amp;":"&amp;" """&amp;H4&amp;""""&amp;" ,"&amp;$I$1&amp;":"&amp;" """&amp;I4&amp;""""&amp;"},"</f>
        <v>{name: "Thomas Eggleston", title: "Senior Associate" ,desc: "After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 ,twitter: "https://twitter.com/T3ggleston" ,medium: "https://medium.com/@T3ggleston" ,prev: "teamModal2" ,current: "teamModal3" ,next: "teamModal4" ,img: "img/team/thomas.jpg"},</v>
      </c>
    </row>
    <row r="5" spans="1:12" x14ac:dyDescent="0.2">
      <c r="A5" t="s">
        <v>33</v>
      </c>
      <c r="B5" t="s">
        <v>34</v>
      </c>
      <c r="C5" t="s">
        <v>35</v>
      </c>
      <c r="D5" t="s">
        <v>36</v>
      </c>
      <c r="E5" t="s">
        <v>37</v>
      </c>
      <c r="F5" t="str">
        <f t="shared" ref="F5:G6" si="1">G4</f>
        <v>teamModal3</v>
      </c>
      <c r="G5" t="str">
        <f t="shared" si="1"/>
        <v>teamModal4</v>
      </c>
      <c r="H5" t="s">
        <v>31</v>
      </c>
      <c r="I5" t="s">
        <v>38</v>
      </c>
      <c r="L5" t="str">
        <f t="shared" si="0"/>
        <v>{name: "Abhinaya Konduru", title: "Analyst" ,desc: "Abhinaya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 ,twitter: "https://twitter.com/itsabhinaya" ,medium: "https://medium.com/@itsabhinaya" ,prev: "teamModal3" ,current: "teamModal4" ,next: "teamModal5" ,img: "img/team/abhinaya.jpg"},</v>
      </c>
    </row>
    <row r="6" spans="1:12" x14ac:dyDescent="0.2">
      <c r="A6" t="s">
        <v>39</v>
      </c>
      <c r="B6" t="s">
        <v>40</v>
      </c>
      <c r="C6" t="s">
        <v>41</v>
      </c>
      <c r="D6" t="s">
        <v>42</v>
      </c>
      <c r="E6" t="s">
        <v>43</v>
      </c>
      <c r="F6" t="str">
        <f t="shared" si="1"/>
        <v>teamModal4</v>
      </c>
      <c r="G6" t="str">
        <f t="shared" si="1"/>
        <v>teamModal5</v>
      </c>
      <c r="H6" t="s">
        <v>13</v>
      </c>
      <c r="I6" t="s">
        <v>44</v>
      </c>
      <c r="L6" t="str">
        <f t="shared" si="0"/>
        <v>{name: "Katherine Schulman", title: "Associate" ,desc: "Katherine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 ,twitter: "https://twitter.com/kpschulman" ,medium: "https://medium.com/@kpschulman" ,prev: "teamModal4" ,current: "teamModal5" ,next: "teamModal6" ,img: "img/team/katherine.jpg"},</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61"/>
  <sheetViews>
    <sheetView tabSelected="1" topLeftCell="A27" workbookViewId="0">
      <selection activeCell="H2" sqref="H2:H59"/>
    </sheetView>
  </sheetViews>
  <sheetFormatPr baseColWidth="10" defaultRowHeight="16" x14ac:dyDescent="0.2"/>
  <cols>
    <col min="3" max="3" width="31.33203125" bestFit="1" customWidth="1"/>
    <col min="4" max="4" width="70" bestFit="1" customWidth="1"/>
    <col min="5" max="5" width="16" bestFit="1" customWidth="1"/>
  </cols>
  <sheetData>
    <row r="1" spans="1:16" x14ac:dyDescent="0.2">
      <c r="A1" t="s">
        <v>180</v>
      </c>
      <c r="B1" t="s">
        <v>71</v>
      </c>
      <c r="C1" t="s">
        <v>72</v>
      </c>
      <c r="D1" t="s">
        <v>73</v>
      </c>
      <c r="E1" t="s">
        <v>16</v>
      </c>
    </row>
    <row r="2" spans="1:16" x14ac:dyDescent="0.2">
      <c r="A2" s="8">
        <f>portfolio_data!B61</f>
        <v>43066</v>
      </c>
      <c r="B2" t="s">
        <v>131</v>
      </c>
      <c r="C2" t="s">
        <v>240</v>
      </c>
      <c r="D2" t="str">
        <f>"state_"&amp;portfolio_data!C61&amp;" "&amp;portfolio_data!D61&amp;" "&amp;VLOOKUP(portfolio_data!E61,portfolio_data!$K$2:$L$4,2,0)&amp;" "&amp;IFERROR(VLOOKUP(portfolio_data!F61,portfolio_data!$K$7:$L$19,2,0),"")&amp;" "&amp;IFERROR(VLOOKUP(portfolio_data!G61,portfolio_data!$K$7:$L$19,2,0),"")&amp;" "&amp;IFERROR(VLOOKUP(portfolio_data!H61,portfolio_data!$K$7:$L$19,2,0),"")</f>
        <v xml:space="preserve">state_OH funds2 business_B2B industry_finance  </v>
      </c>
      <c r="E2" t="s">
        <v>131</v>
      </c>
      <c r="H2" t="str">
        <f>"{"&amp;$C$1&amp;":"&amp;" """&amp;C2&amp;""""&amp;", "&amp;$D$1&amp;":"&amp;" """&amp;D2&amp;""""&amp;" ,"&amp;$E$1&amp;":"&amp;" """&amp;E2&amp;""""&amp;"},"</f>
        <v>{url: "https://www.safechain.io/", class: "state_OH funds2 business_B2B industry_finance  " ,img: "SafeChain"},</v>
      </c>
      <c r="P2" s="2"/>
    </row>
    <row r="3" spans="1:16" x14ac:dyDescent="0.2">
      <c r="A3" s="8">
        <f>portfolio_data!B60</f>
        <v>43060</v>
      </c>
      <c r="B3" t="s">
        <v>130</v>
      </c>
      <c r="C3" t="s">
        <v>239</v>
      </c>
      <c r="D3" t="str">
        <f>"state_"&amp;portfolio_data!C60&amp;" "&amp;portfolio_data!D60&amp;" "&amp;VLOOKUP(portfolio_data!E60,portfolio_data!$K$2:$L$4,2,0)&amp;" "&amp;IFERROR(VLOOKUP(portfolio_data!F60,portfolio_data!$K$7:$L$19,2,0),"")&amp;" "&amp;IFERROR(VLOOKUP(portfolio_data!G60,portfolio_data!$K$7:$L$19,2,0),"")&amp;" "&amp;IFERROR(VLOOKUP(portfolio_data!H60,portfolio_data!$K$7:$L$19,2,0),"")</f>
        <v xml:space="preserve">state_MN funds2 business_B2C industry_food industry_other </v>
      </c>
      <c r="E3" t="s">
        <v>259</v>
      </c>
      <c r="H3" t="str">
        <f t="shared" ref="H3:H59" si="0">"{"&amp;$C$1&amp;":"&amp;" """&amp;C3&amp;""""&amp;", "&amp;$D$1&amp;":"&amp;" """&amp;D3&amp;""""&amp;" ,"&amp;$E$1&amp;":"&amp;" """&amp;E3&amp;""""&amp;"},"</f>
        <v>{url: "https://www.bizzycoffee.com/", class: "state_MN funds2 business_B2C industry_food industry_other " ,img: "BizzyCoffee"},</v>
      </c>
      <c r="P3" s="2"/>
    </row>
    <row r="4" spans="1:16" x14ac:dyDescent="0.2">
      <c r="A4" s="8">
        <f>portfolio_data!B58</f>
        <v>43055</v>
      </c>
      <c r="B4" t="s">
        <v>128</v>
      </c>
      <c r="C4" t="s">
        <v>237</v>
      </c>
      <c r="D4" t="str">
        <f>"state_"&amp;portfolio_data!C58&amp;" "&amp;portfolio_data!D58&amp;" "&amp;VLOOKUP(portfolio_data!E58,portfolio_data!$K$2:$L$4,2,0)&amp;" "&amp;IFERROR(VLOOKUP(portfolio_data!F58,portfolio_data!$K$7:$L$19,2,0),"")&amp;" "&amp;IFERROR(VLOOKUP(portfolio_data!G58,portfolio_data!$K$7:$L$19,2,0),"")&amp;" "&amp;IFERROR(VLOOKUP(portfolio_data!H58,portfolio_data!$K$7:$L$19,2,0),"")</f>
        <v xml:space="preserve">state_KY funds2 business_B2B  industry_enterprise </v>
      </c>
      <c r="E4" t="s">
        <v>258</v>
      </c>
      <c r="H4" t="str">
        <f t="shared" si="0"/>
        <v>{url: "https://hippomanager.com/", class: "state_KY funds2 business_B2B  industry_enterprise " ,img: "HippoManager"},</v>
      </c>
      <c r="P4" s="2"/>
    </row>
    <row r="5" spans="1:16" x14ac:dyDescent="0.2">
      <c r="A5" s="8">
        <f>portfolio_data!B59</f>
        <v>43053</v>
      </c>
      <c r="B5" t="s">
        <v>129</v>
      </c>
      <c r="C5" t="s">
        <v>238</v>
      </c>
      <c r="D5" t="str">
        <f>"state_"&amp;portfolio_data!C59&amp;" "&amp;portfolio_data!D59&amp;" "&amp;VLOOKUP(portfolio_data!E59,portfolio_data!$K$2:$L$4,2,0)&amp;" "&amp;IFERROR(VLOOKUP(portfolio_data!F59,portfolio_data!$K$7:$L$19,2,0),"")&amp;" "&amp;IFERROR(VLOOKUP(portfolio_data!G59,portfolio_data!$K$7:$L$19,2,0),"")&amp;" "&amp;IFERROR(VLOOKUP(portfolio_data!H59,portfolio_data!$K$7:$L$19,2,0),"")</f>
        <v xml:space="preserve">state_MI funds2 business_B2B industry_enterprise  </v>
      </c>
      <c r="E5" t="s">
        <v>129</v>
      </c>
      <c r="H5" t="str">
        <f t="shared" si="0"/>
        <v>{url: "https://changedynamix.io/", class: "state_MI funds2 business_B2B industry_enterprise  " ,img: "ChangeDynamix"},</v>
      </c>
      <c r="P5" s="2"/>
    </row>
    <row r="6" spans="1:16" x14ac:dyDescent="0.2">
      <c r="A6" s="8">
        <f>portfolio_data!B57</f>
        <v>43048</v>
      </c>
      <c r="B6" t="s">
        <v>127</v>
      </c>
      <c r="C6" t="s">
        <v>236</v>
      </c>
      <c r="D6" t="str">
        <f>"state_"&amp;portfolio_data!C57&amp;" "&amp;portfolio_data!D57&amp;" "&amp;VLOOKUP(portfolio_data!E57,portfolio_data!$K$2:$L$4,2,0)&amp;" "&amp;IFERROR(VLOOKUP(portfolio_data!F57,portfolio_data!$K$7:$L$19,2,0),"")&amp;" "&amp;IFERROR(VLOOKUP(portfolio_data!G57,portfolio_data!$K$7:$L$19,2,0),"")&amp;" "&amp;IFERROR(VLOOKUP(portfolio_data!H57,portfolio_data!$K$7:$L$19,2,0),"")</f>
        <v xml:space="preserve">state_IL funds2 business_B2B business_B2C industry_realestate industry_analytics </v>
      </c>
      <c r="E6" t="s">
        <v>127</v>
      </c>
      <c r="H6" t="str">
        <f t="shared" si="0"/>
        <v>{url: "http://www.virtualkey.co/", class: "state_IL funds2 business_B2B business_B2C industry_realestate industry_analytics " ,img: "VirtualKey"},</v>
      </c>
      <c r="P6" s="2"/>
    </row>
    <row r="7" spans="1:16" x14ac:dyDescent="0.2">
      <c r="A7" s="8">
        <f>portfolio_data!B56</f>
        <v>43041</v>
      </c>
      <c r="B7" t="s">
        <v>126</v>
      </c>
      <c r="C7" t="s">
        <v>235</v>
      </c>
      <c r="D7" t="str">
        <f>"state_"&amp;portfolio_data!C56&amp;" "&amp;portfolio_data!D56&amp;" "&amp;VLOOKUP(portfolio_data!E56,portfolio_data!$K$2:$L$4,2,0)&amp;" "&amp;IFERROR(VLOOKUP(portfolio_data!F56,portfolio_data!$K$7:$L$19,2,0),"")&amp;" "&amp;IFERROR(VLOOKUP(portfolio_data!G56,portfolio_data!$K$7:$L$19,2,0),"")&amp;" "&amp;IFERROR(VLOOKUP(portfolio_data!H56,portfolio_data!$K$7:$L$19,2,0),"")</f>
        <v xml:space="preserve">state_MI funds2 business_B2B industry_analytics industry_marketing </v>
      </c>
      <c r="E7" t="s">
        <v>126</v>
      </c>
      <c r="H7" t="str">
        <f t="shared" si="0"/>
        <v>{url: "https://www.parrable.com/", class: "state_MI funds2 business_B2B industry_analytics industry_marketing " ,img: "Parrable"},</v>
      </c>
      <c r="P7" s="2"/>
    </row>
    <row r="8" spans="1:16" x14ac:dyDescent="0.2">
      <c r="A8" s="8">
        <f>portfolio_data!B55</f>
        <v>43031</v>
      </c>
      <c r="B8" t="s">
        <v>125</v>
      </c>
      <c r="C8" t="s">
        <v>234</v>
      </c>
      <c r="D8" t="str">
        <f>"state_"&amp;portfolio_data!C55&amp;" "&amp;portfolio_data!D55&amp;" "&amp;VLOOKUP(portfolio_data!E55,portfolio_data!$K$2:$L$4,2,0)&amp;" "&amp;IFERROR(VLOOKUP(portfolio_data!F55,portfolio_data!$K$7:$L$19,2,0),"")&amp;" "&amp;IFERROR(VLOOKUP(portfolio_data!G55,portfolio_data!$K$7:$L$19,2,0),"")&amp;" "&amp;IFERROR(VLOOKUP(portfolio_data!H55,portfolio_data!$K$7:$L$19,2,0),"")</f>
        <v xml:space="preserve">state_IL funds2 business_B2C industry_healthcare industry_education </v>
      </c>
      <c r="E8" t="s">
        <v>125</v>
      </c>
      <c r="H8" t="str">
        <f t="shared" si="0"/>
        <v>{url: "https://www.amopportunities.org/", class: "state_IL funds2 business_B2C industry_healthcare industry_education " ,img: "AMOpportunities"},</v>
      </c>
      <c r="P8" s="2"/>
    </row>
    <row r="9" spans="1:16" x14ac:dyDescent="0.2">
      <c r="A9" s="8">
        <f>portfolio_data!B54</f>
        <v>43024</v>
      </c>
      <c r="B9" t="s">
        <v>124</v>
      </c>
      <c r="C9" t="s">
        <v>233</v>
      </c>
      <c r="D9" t="str">
        <f>"state_"&amp;portfolio_data!C54&amp;" "&amp;portfolio_data!D54&amp;" "&amp;VLOOKUP(portfolio_data!E54,portfolio_data!$K$2:$L$4,2,0)&amp;" "&amp;IFERROR(VLOOKUP(portfolio_data!F54,portfolio_data!$K$7:$L$19,2,0),"")&amp;" "&amp;IFERROR(VLOOKUP(portfolio_data!G54,portfolio_data!$K$7:$L$19,2,0),"")&amp;" "&amp;IFERROR(VLOOKUP(portfolio_data!H54,portfolio_data!$K$7:$L$19,2,0),"")</f>
        <v xml:space="preserve">state_MO funds2 business_B2B industry_enterprise  </v>
      </c>
      <c r="E9" t="s">
        <v>124</v>
      </c>
      <c r="H9" t="str">
        <f t="shared" si="0"/>
        <v>{url: "http://backstitch.io/", class: "state_MO funds2 business_B2B industry_enterprise  " ,img: "BackStitch"},</v>
      </c>
      <c r="P9" s="2"/>
    </row>
    <row r="10" spans="1:16" x14ac:dyDescent="0.2">
      <c r="A10" s="8">
        <f>portfolio_data!B53</f>
        <v>43004</v>
      </c>
      <c r="B10" t="s">
        <v>123</v>
      </c>
      <c r="C10" t="s">
        <v>232</v>
      </c>
      <c r="D10" t="str">
        <f>"state_"&amp;portfolio_data!C53&amp;" "&amp;portfolio_data!D53&amp;" "&amp;VLOOKUP(portfolio_data!E53,portfolio_data!$K$2:$L$4,2,0)&amp;" "&amp;IFERROR(VLOOKUP(portfolio_data!F53,portfolio_data!$K$7:$L$19,2,0),"")&amp;" "&amp;IFERROR(VLOOKUP(portfolio_data!G53,portfolio_data!$K$7:$L$19,2,0),"")&amp;" "&amp;IFERROR(VLOOKUP(portfolio_data!H53,portfolio_data!$K$7:$L$19,2,0),"")</f>
        <v xml:space="preserve">state_PA funds2 business_B2B industry_transportation  </v>
      </c>
      <c r="E10" t="s">
        <v>257</v>
      </c>
      <c r="H10" t="str">
        <f t="shared" si="0"/>
        <v>{url: "http://www.idelictech.com/", class: "state_PA funds2 business_B2B industry_transportation  " ,img: "IdelicTech"},</v>
      </c>
      <c r="P10" s="2"/>
    </row>
    <row r="11" spans="1:16" x14ac:dyDescent="0.2">
      <c r="A11" s="8">
        <f>portfolio_data!B52</f>
        <v>43000</v>
      </c>
      <c r="B11" t="s">
        <v>122</v>
      </c>
      <c r="C11" t="s">
        <v>231</v>
      </c>
      <c r="D11" t="str">
        <f>"state_"&amp;portfolio_data!C52&amp;" "&amp;portfolio_data!D52&amp;" "&amp;VLOOKUP(portfolio_data!E52,portfolio_data!$K$2:$L$4,2,0)&amp;" "&amp;IFERROR(VLOOKUP(portfolio_data!F52,portfolio_data!$K$7:$L$19,2,0),"")&amp;" "&amp;IFERROR(VLOOKUP(portfolio_data!G52,portfolio_data!$K$7:$L$19,2,0),"")&amp;" "&amp;IFERROR(VLOOKUP(portfolio_data!H52,portfolio_data!$K$7:$L$19,2,0),"")</f>
        <v xml:space="preserve">state_IL funds2 business_B2B business_B2C industry_finance  </v>
      </c>
      <c r="E11" t="s">
        <v>256</v>
      </c>
      <c r="H11" t="str">
        <f t="shared" si="0"/>
        <v>{url: "https://cfxtrading.com/", class: "state_IL funds2 business_B2B business_B2C industry_finance  " ,img: "CFXMarkets"},</v>
      </c>
      <c r="P11" s="2"/>
    </row>
    <row r="12" spans="1:16" x14ac:dyDescent="0.2">
      <c r="A12" s="8">
        <f>portfolio_data!B49</f>
        <v>42948</v>
      </c>
      <c r="B12" t="s">
        <v>119</v>
      </c>
      <c r="C12" t="s">
        <v>228</v>
      </c>
      <c r="D12" t="str">
        <f>"state_"&amp;portfolio_data!C49&amp;" "&amp;portfolio_data!D49&amp;" "&amp;VLOOKUP(portfolio_data!E49,portfolio_data!$K$2:$L$4,2,0)&amp;" "&amp;IFERROR(VLOOKUP(portfolio_data!F49,portfolio_data!$K$7:$L$19,2,0),"")&amp;" "&amp;IFERROR(VLOOKUP(portfolio_data!G49,portfolio_data!$K$7:$L$19,2,0),"")&amp;" "&amp;IFERROR(VLOOKUP(portfolio_data!H49,portfolio_data!$K$7:$L$19,2,0),"")</f>
        <v xml:space="preserve">state_OH funds2 business_B2B industry_enterprise  </v>
      </c>
      <c r="E12" t="s">
        <v>119</v>
      </c>
      <c r="H12" t="str">
        <f t="shared" si="0"/>
        <v>{url: "http://www.employstream.com/", class: "state_OH funds2 business_B2B industry_enterprise  " ,img: "EmployStream"},</v>
      </c>
      <c r="P12" s="2"/>
    </row>
    <row r="13" spans="1:16" x14ac:dyDescent="0.2">
      <c r="A13" s="8">
        <f>portfolio_data!B50</f>
        <v>42948</v>
      </c>
      <c r="B13" t="s">
        <v>120</v>
      </c>
      <c r="C13" t="s">
        <v>229</v>
      </c>
      <c r="D13" t="str">
        <f>"state_"&amp;portfolio_data!C50&amp;" "&amp;portfolio_data!D50&amp;" "&amp;VLOOKUP(portfolio_data!E50,portfolio_data!$K$2:$L$4,2,0)&amp;" "&amp;IFERROR(VLOOKUP(portfolio_data!F50,portfolio_data!$K$7:$L$19,2,0),"")&amp;" "&amp;IFERROR(VLOOKUP(portfolio_data!G50,portfolio_data!$K$7:$L$19,2,0),"")&amp;" "&amp;IFERROR(VLOOKUP(portfolio_data!H50,portfolio_data!$K$7:$L$19,2,0),"")</f>
        <v xml:space="preserve">state_MO funds2 business_B2B industry_enterprise  </v>
      </c>
      <c r="E13" t="s">
        <v>120</v>
      </c>
      <c r="H13" t="str">
        <f t="shared" si="0"/>
        <v>{url: "https://ryvit.com/", class: "state_MO funds2 business_B2B industry_enterprise  " ,img: "Ryvit"},</v>
      </c>
      <c r="P13" s="2"/>
    </row>
    <row r="14" spans="1:16" x14ac:dyDescent="0.2">
      <c r="A14" s="8">
        <f>portfolio_data!B51</f>
        <v>42948</v>
      </c>
      <c r="B14" t="s">
        <v>121</v>
      </c>
      <c r="C14" t="s">
        <v>230</v>
      </c>
      <c r="D14" t="str">
        <f>"state_"&amp;portfolio_data!C51&amp;" "&amp;portfolio_data!D51&amp;" "&amp;VLOOKUP(portfolio_data!E51,portfolio_data!$K$2:$L$4,2,0)&amp;" "&amp;IFERROR(VLOOKUP(portfolio_data!F51,portfolio_data!$K$7:$L$19,2,0),"")&amp;" "&amp;IFERROR(VLOOKUP(portfolio_data!G51,portfolio_data!$K$7:$L$19,2,0),"")&amp;" "&amp;IFERROR(VLOOKUP(portfolio_data!H51,portfolio_data!$K$7:$L$19,2,0),"")</f>
        <v xml:space="preserve">state_MN funds2 business_B2B industry_healthcare  </v>
      </c>
      <c r="E14" t="s">
        <v>121</v>
      </c>
      <c r="H14" t="str">
        <f t="shared" si="0"/>
        <v>{url: "https://www.geneticure.com/", class: "state_MN funds2 business_B2B industry_healthcare  " ,img: "Geneticure"},</v>
      </c>
      <c r="P14" s="2"/>
    </row>
    <row r="15" spans="1:16" x14ac:dyDescent="0.2">
      <c r="A15" s="8">
        <f>portfolio_data!B47</f>
        <v>42917</v>
      </c>
      <c r="B15" t="s">
        <v>117</v>
      </c>
      <c r="C15" t="s">
        <v>226</v>
      </c>
      <c r="D15" t="str">
        <f>"state_"&amp;portfolio_data!C47&amp;" "&amp;portfolio_data!D47&amp;" "&amp;VLOOKUP(portfolio_data!E47,portfolio_data!$K$2:$L$4,2,0)&amp;" "&amp;IFERROR(VLOOKUP(portfolio_data!F47,portfolio_data!$K$7:$L$19,2,0),"")&amp;" "&amp;IFERROR(VLOOKUP(portfolio_data!G47,portfolio_data!$K$7:$L$19,2,0),"")&amp;" "&amp;IFERROR(VLOOKUP(portfolio_data!H47,portfolio_data!$K$7:$L$19,2,0),"")</f>
        <v xml:space="preserve">state_IL funds2 business_B2B business_B2C industry_healthcare  </v>
      </c>
      <c r="E15" t="s">
        <v>255</v>
      </c>
      <c r="H15" t="str">
        <f t="shared" si="0"/>
        <v>{url: "http://www.markitmedical.com/", class: "state_IL funds2 business_B2B business_B2C industry_healthcare  " ,img: "MarkItMedical"},</v>
      </c>
      <c r="P15" s="2"/>
    </row>
    <row r="16" spans="1:16" x14ac:dyDescent="0.2">
      <c r="A16" s="8">
        <f>portfolio_data!B48</f>
        <v>42917</v>
      </c>
      <c r="B16" t="s">
        <v>118</v>
      </c>
      <c r="C16" t="s">
        <v>227</v>
      </c>
      <c r="D16" t="str">
        <f>"state_"&amp;portfolio_data!C48&amp;" "&amp;portfolio_data!D48&amp;" "&amp;VLOOKUP(portfolio_data!E48,portfolio_data!$K$2:$L$4,2,0)&amp;" "&amp;IFERROR(VLOOKUP(portfolio_data!F48,portfolio_data!$K$7:$L$19,2,0),"")&amp;" "&amp;IFERROR(VLOOKUP(portfolio_data!G48,portfolio_data!$K$7:$L$19,2,0),"")&amp;" "&amp;IFERROR(VLOOKUP(portfolio_data!H48,portfolio_data!$K$7:$L$19,2,0),"")</f>
        <v xml:space="preserve">state_IL funds2 business_B2B industry_finance  </v>
      </c>
      <c r="E16" t="s">
        <v>118</v>
      </c>
      <c r="H16" t="str">
        <f t="shared" si="0"/>
        <v>{url: "https://www.datacubes.com/", class: "state_IL funds2 business_B2B industry_finance  " ,img: "DataCubes"},</v>
      </c>
      <c r="P16" s="2"/>
    </row>
    <row r="17" spans="1:16" x14ac:dyDescent="0.2">
      <c r="A17" s="8">
        <f>portfolio_data!B43</f>
        <v>42887</v>
      </c>
      <c r="B17" t="s">
        <v>113</v>
      </c>
      <c r="C17" t="s">
        <v>222</v>
      </c>
      <c r="D17" t="str">
        <f>"state_"&amp;portfolio_data!C43&amp;" "&amp;portfolio_data!D43&amp;" "&amp;VLOOKUP(portfolio_data!E43,portfolio_data!$K$2:$L$4,2,0)&amp;" "&amp;IFERROR(VLOOKUP(portfolio_data!F43,portfolio_data!$K$7:$L$19,2,0),"")&amp;" "&amp;IFERROR(VLOOKUP(portfolio_data!G43,portfolio_data!$K$7:$L$19,2,0),"")&amp;" "&amp;IFERROR(VLOOKUP(portfolio_data!H43,portfolio_data!$K$7:$L$19,2,0),"")</f>
        <v xml:space="preserve">state_IL funds2 business_B2C industry_finance  </v>
      </c>
      <c r="E17" t="s">
        <v>253</v>
      </c>
      <c r="H17" t="str">
        <f t="shared" si="0"/>
        <v>{url: "https://www.kin.us/", class: "state_IL funds2 business_B2C industry_finance  " ,img: "Kin"},</v>
      </c>
      <c r="P17" s="2"/>
    </row>
    <row r="18" spans="1:16" x14ac:dyDescent="0.2">
      <c r="A18" s="8">
        <f>portfolio_data!B44</f>
        <v>42887</v>
      </c>
      <c r="B18" t="s">
        <v>114</v>
      </c>
      <c r="C18" t="s">
        <v>223</v>
      </c>
      <c r="D18" t="str">
        <f>"state_"&amp;portfolio_data!C44&amp;" "&amp;portfolio_data!D44&amp;" "&amp;VLOOKUP(portfolio_data!E44,portfolio_data!$K$2:$L$4,2,0)&amp;" "&amp;IFERROR(VLOOKUP(portfolio_data!F44,portfolio_data!$K$7:$L$19,2,0),"")&amp;" "&amp;IFERROR(VLOOKUP(portfolio_data!G44,portfolio_data!$K$7:$L$19,2,0),"")&amp;" "&amp;IFERROR(VLOOKUP(portfolio_data!H44,portfolio_data!$K$7:$L$19,2,0),"")</f>
        <v xml:space="preserve">state_OH funds2 business_B2C industry_entertainment industry_apps </v>
      </c>
      <c r="E18" t="s">
        <v>114</v>
      </c>
      <c r="H18" t="str">
        <f t="shared" si="0"/>
        <v>{url: "http://rapchat.me/", class: "state_OH funds2 business_B2C industry_entertainment industry_apps " ,img: "RapChat"},</v>
      </c>
      <c r="P18" s="2"/>
    </row>
    <row r="19" spans="1:16" x14ac:dyDescent="0.2">
      <c r="A19" s="8">
        <f>portfolio_data!B45</f>
        <v>42887</v>
      </c>
      <c r="B19" t="s">
        <v>115</v>
      </c>
      <c r="C19" t="s">
        <v>224</v>
      </c>
      <c r="D19" t="str">
        <f>"state_"&amp;portfolio_data!C45&amp;" "&amp;portfolio_data!D45&amp;" "&amp;VLOOKUP(portfolio_data!E45,portfolio_data!$K$2:$L$4,2,0)&amp;" "&amp;IFERROR(VLOOKUP(portfolio_data!F45,portfolio_data!$K$7:$L$19,2,0),"")&amp;" "&amp;IFERROR(VLOOKUP(portfolio_data!G45,portfolio_data!$K$7:$L$19,2,0),"")&amp;" "&amp;IFERROR(VLOOKUP(portfolio_data!H45,portfolio_data!$K$7:$L$19,2,0),"")</f>
        <v xml:space="preserve">state_IN funds2 business_B2B industry_finance  </v>
      </c>
      <c r="E19" t="s">
        <v>254</v>
      </c>
      <c r="H19" t="str">
        <f t="shared" si="0"/>
        <v>{url: "https://cheddargetter.com/", class: "state_IN funds2 business_B2B industry_finance  " ,img: "CheddarGetter"},</v>
      </c>
      <c r="P19" s="2"/>
    </row>
    <row r="20" spans="1:16" x14ac:dyDescent="0.2">
      <c r="A20" s="8">
        <f>portfolio_data!B46</f>
        <v>42887</v>
      </c>
      <c r="B20" t="s">
        <v>116</v>
      </c>
      <c r="C20" t="s">
        <v>225</v>
      </c>
      <c r="D20" t="str">
        <f>"state_"&amp;portfolio_data!C46&amp;" "&amp;portfolio_data!D46&amp;" "&amp;VLOOKUP(portfolio_data!E46,portfolio_data!$K$2:$L$4,2,0)&amp;" "&amp;IFERROR(VLOOKUP(portfolio_data!F46,portfolio_data!$K$7:$L$19,2,0),"")&amp;" "&amp;IFERROR(VLOOKUP(portfolio_data!G46,portfolio_data!$K$7:$L$19,2,0),"")&amp;" "&amp;IFERROR(VLOOKUP(portfolio_data!H46,portfolio_data!$K$7:$L$19,2,0),"")</f>
        <v xml:space="preserve">state_NE funds2 business_B2B industry_entertainment industry_marketing </v>
      </c>
      <c r="E20" t="s">
        <v>116</v>
      </c>
      <c r="H20" t="str">
        <f t="shared" si="0"/>
        <v>{url: "http://opendorse.com/", class: "state_NE funds2 business_B2B industry_entertainment industry_marketing " ,img: "Opendorse"},</v>
      </c>
      <c r="P20" s="2"/>
    </row>
    <row r="21" spans="1:16" x14ac:dyDescent="0.2">
      <c r="A21" s="8">
        <f>portfolio_data!B40</f>
        <v>42856</v>
      </c>
      <c r="B21" t="s">
        <v>110</v>
      </c>
      <c r="C21" t="s">
        <v>219</v>
      </c>
      <c r="D21" t="str">
        <f>"state_"&amp;portfolio_data!C40&amp;" "&amp;portfolio_data!D40&amp;" "&amp;VLOOKUP(portfolio_data!E40,portfolio_data!$K$2:$L$4,2,0)&amp;" "&amp;IFERROR(VLOOKUP(portfolio_data!F40,portfolio_data!$K$7:$L$19,2,0),"")&amp;" "&amp;IFERROR(VLOOKUP(portfolio_data!G40,portfolio_data!$K$7:$L$19,2,0),"")&amp;" "&amp;IFERROR(VLOOKUP(portfolio_data!H40,portfolio_data!$K$7:$L$19,2,0),"")</f>
        <v xml:space="preserve">state_KY funds2 business_B2C industry_entertainment industry_apps </v>
      </c>
      <c r="E21" t="s">
        <v>110</v>
      </c>
      <c r="H21" t="str">
        <f t="shared" si="0"/>
        <v>{url: "http://www.completeset.com/", class: "state_KY funds2 business_B2C industry_entertainment industry_apps " ,img: "CompleteSet"},</v>
      </c>
      <c r="P21" s="2"/>
    </row>
    <row r="22" spans="1:16" x14ac:dyDescent="0.2">
      <c r="A22" s="8">
        <f>portfolio_data!B41</f>
        <v>42856</v>
      </c>
      <c r="B22" t="s">
        <v>111</v>
      </c>
      <c r="C22" t="s">
        <v>220</v>
      </c>
      <c r="D22" t="str">
        <f>"state_"&amp;portfolio_data!C41&amp;" "&amp;portfolio_data!D41&amp;" "&amp;VLOOKUP(portfolio_data!E41,portfolio_data!$K$2:$L$4,2,0)&amp;" "&amp;IFERROR(VLOOKUP(portfolio_data!F41,portfolio_data!$K$7:$L$19,2,0),"")&amp;" "&amp;IFERROR(VLOOKUP(portfolio_data!G41,portfolio_data!$K$7:$L$19,2,0),"")&amp;" "&amp;IFERROR(VLOOKUP(portfolio_data!H41,portfolio_data!$K$7:$L$19,2,0),"")</f>
        <v xml:space="preserve">state_IL funds2 business_B2B business_B2C industry_realestate  </v>
      </c>
      <c r="E22" t="s">
        <v>111</v>
      </c>
      <c r="H22" t="str">
        <f t="shared" si="0"/>
        <v>{url: "http://www.rentalutions.com/", class: "state_IL funds2 business_B2B business_B2C industry_realestate  " ,img: "Rentalutions"},</v>
      </c>
      <c r="P22" s="2"/>
    </row>
    <row r="23" spans="1:16" x14ac:dyDescent="0.2">
      <c r="A23" s="8">
        <f>portfolio_data!B42</f>
        <v>42856</v>
      </c>
      <c r="B23" t="s">
        <v>112</v>
      </c>
      <c r="C23" t="s">
        <v>221</v>
      </c>
      <c r="D23" t="str">
        <f>"state_"&amp;portfolio_data!C42&amp;" "&amp;portfolio_data!D42&amp;" "&amp;VLOOKUP(portfolio_data!E42,portfolio_data!$K$2:$L$4,2,0)&amp;" "&amp;IFERROR(VLOOKUP(portfolio_data!F42,portfolio_data!$K$7:$L$19,2,0),"")&amp;" "&amp;IFERROR(VLOOKUP(portfolio_data!G42,portfolio_data!$K$7:$L$19,2,0),"")&amp;" "&amp;IFERROR(VLOOKUP(portfolio_data!H42,portfolio_data!$K$7:$L$19,2,0),"")</f>
        <v xml:space="preserve">state_OH funds2 business_B2B industry_healthcare  </v>
      </c>
      <c r="E23" t="s">
        <v>112</v>
      </c>
      <c r="H23" t="str">
        <f t="shared" si="0"/>
        <v>{url: "http://www.scriptdrop.co/", class: "state_OH funds2 business_B2B industry_healthcare  " ,img: "ScriptDrop"},</v>
      </c>
    </row>
    <row r="24" spans="1:16" x14ac:dyDescent="0.2">
      <c r="A24" s="8">
        <f>portfolio_data!B37</f>
        <v>42767</v>
      </c>
      <c r="B24" t="s">
        <v>107</v>
      </c>
      <c r="C24" t="s">
        <v>216</v>
      </c>
      <c r="D24" t="str">
        <f>"state_"&amp;portfolio_data!C37&amp;" "&amp;portfolio_data!D37&amp;" "&amp;VLOOKUP(portfolio_data!E37,portfolio_data!$K$2:$L$4,2,0)&amp;" "&amp;IFERROR(VLOOKUP(portfolio_data!F37,portfolio_data!$K$7:$L$19,2,0),"")&amp;" "&amp;IFERROR(VLOOKUP(portfolio_data!G37,portfolio_data!$K$7:$L$19,2,0),"")&amp;" "&amp;IFERROR(VLOOKUP(portfolio_data!H37,portfolio_data!$K$7:$L$19,2,0),"")</f>
        <v xml:space="preserve">state_IN funds2 business_B2B  industry_enterprise </v>
      </c>
      <c r="E24" t="s">
        <v>251</v>
      </c>
      <c r="H24" t="str">
        <f t="shared" si="0"/>
        <v>{url: "https://andcostello.com/", class: "state_IN funds2 business_B2B  industry_enterprise " ,img: "Costello"},</v>
      </c>
    </row>
    <row r="25" spans="1:16" x14ac:dyDescent="0.2">
      <c r="A25" s="8">
        <f>portfolio_data!B38</f>
        <v>42767</v>
      </c>
      <c r="B25" t="s">
        <v>108</v>
      </c>
      <c r="C25" t="s">
        <v>217</v>
      </c>
      <c r="D25" t="str">
        <f>"state_"&amp;portfolio_data!C38&amp;" "&amp;portfolio_data!D38&amp;" "&amp;VLOOKUP(portfolio_data!E38,portfolio_data!$K$2:$L$4,2,0)&amp;" "&amp;IFERROR(VLOOKUP(portfolio_data!F38,portfolio_data!$K$7:$L$19,2,0),"")&amp;" "&amp;IFERROR(VLOOKUP(portfolio_data!G38,portfolio_data!$K$7:$L$19,2,0),"")&amp;" "&amp;IFERROR(VLOOKUP(portfolio_data!H38,portfolio_data!$K$7:$L$19,2,0),"")</f>
        <v xml:space="preserve">state_OH funds2 business_B2B industry_analytics industry_enterprise </v>
      </c>
      <c r="E25" t="s">
        <v>108</v>
      </c>
      <c r="H25" t="str">
        <f t="shared" si="0"/>
        <v>{url: "https://www.astronomer.io/", class: "state_OH funds2 business_B2B industry_analytics industry_enterprise " ,img: "Astronomer"},</v>
      </c>
    </row>
    <row r="26" spans="1:16" x14ac:dyDescent="0.2">
      <c r="A26" s="8">
        <f>portfolio_data!B39</f>
        <v>42767</v>
      </c>
      <c r="B26" t="s">
        <v>109</v>
      </c>
      <c r="C26" t="s">
        <v>218</v>
      </c>
      <c r="D26" t="str">
        <f>"state_"&amp;portfolio_data!C39&amp;" "&amp;portfolio_data!D39&amp;" "&amp;VLOOKUP(portfolio_data!E39,portfolio_data!$K$2:$L$4,2,0)&amp;" "&amp;IFERROR(VLOOKUP(portfolio_data!F39,portfolio_data!$K$7:$L$19,2,0),"")&amp;" "&amp;IFERROR(VLOOKUP(portfolio_data!G39,portfolio_data!$K$7:$L$19,2,0),"")&amp;" "&amp;IFERROR(VLOOKUP(portfolio_data!H39,portfolio_data!$K$7:$L$19,2,0),"")</f>
        <v xml:space="preserve">state_OH funds2 business_B2C industry_apps  </v>
      </c>
      <c r="E26" t="s">
        <v>252</v>
      </c>
      <c r="H26" t="str">
        <f t="shared" si="0"/>
        <v>{url: "http://familytech.com/", class: "state_OH funds2 business_B2C industry_apps  " ,img: "FamilyTech"},</v>
      </c>
    </row>
    <row r="27" spans="1:16" x14ac:dyDescent="0.2">
      <c r="A27" s="8">
        <f>portfolio_data!B36</f>
        <v>42736</v>
      </c>
      <c r="B27" t="s">
        <v>106</v>
      </c>
      <c r="C27" t="s">
        <v>215</v>
      </c>
      <c r="D27" t="str">
        <f>"state_"&amp;portfolio_data!C36&amp;" "&amp;portfolio_data!D36&amp;" "&amp;VLOOKUP(portfolio_data!E36,portfolio_data!$K$2:$L$4,2,0)&amp;" "&amp;IFERROR(VLOOKUP(portfolio_data!F36,portfolio_data!$K$7:$L$19,2,0),"")&amp;" "&amp;IFERROR(VLOOKUP(portfolio_data!G36,portfolio_data!$K$7:$L$19,2,0),"")&amp;" "&amp;IFERROR(VLOOKUP(portfolio_data!H36,portfolio_data!$K$7:$L$19,2,0),"")</f>
        <v xml:space="preserve">state_IL funds2 business_B2C  industry_analytics </v>
      </c>
      <c r="E27" t="s">
        <v>250</v>
      </c>
      <c r="H27" t="str">
        <f t="shared" si="0"/>
        <v>{url: "http://www.petronics.io/", class: "state_IL funds2 business_B2C  industry_analytics " ,img: "Petronics"},</v>
      </c>
    </row>
    <row r="28" spans="1:16" x14ac:dyDescent="0.2">
      <c r="A28" s="8">
        <f>portfolio_data!B32</f>
        <v>42675</v>
      </c>
      <c r="B28" t="s">
        <v>102</v>
      </c>
      <c r="C28" t="s">
        <v>211</v>
      </c>
      <c r="D28" t="str">
        <f>"state_"&amp;portfolio_data!C32&amp;" "&amp;portfolio_data!D32&amp;" "&amp;VLOOKUP(portfolio_data!E32,portfolio_data!$K$2:$L$4,2,0)&amp;" "&amp;IFERROR(VLOOKUP(portfolio_data!F32,portfolio_data!$K$7:$L$19,2,0),"")&amp;" "&amp;IFERROR(VLOOKUP(portfolio_data!G32,portfolio_data!$K$7:$L$19,2,0),"")&amp;" "&amp;IFERROR(VLOOKUP(portfolio_data!H32,portfolio_data!$K$7:$L$19,2,0),"")</f>
        <v xml:space="preserve">state_IL funds2 business_B2B industry_food  </v>
      </c>
      <c r="E28" t="s">
        <v>102</v>
      </c>
      <c r="H28" t="str">
        <f t="shared" si="0"/>
        <v>{url: "https://www.chowlyinc.com/", class: "state_IL funds2 business_B2B industry_food  " ,img: "Chowly"},</v>
      </c>
    </row>
    <row r="29" spans="1:16" x14ac:dyDescent="0.2">
      <c r="A29" s="8">
        <f>portfolio_data!B33</f>
        <v>42675</v>
      </c>
      <c r="B29" t="s">
        <v>103</v>
      </c>
      <c r="C29" t="s">
        <v>212</v>
      </c>
      <c r="D29" t="str">
        <f>"state_"&amp;portfolio_data!C33&amp;" "&amp;portfolio_data!D33&amp;" "&amp;VLOOKUP(portfolio_data!E33,portfolio_data!$K$2:$L$4,2,0)&amp;" "&amp;IFERROR(VLOOKUP(portfolio_data!F33,portfolio_data!$K$7:$L$19,2,0),"")&amp;" "&amp;IFERROR(VLOOKUP(portfolio_data!G33,portfolio_data!$K$7:$L$19,2,0),"")&amp;" "&amp;IFERROR(VLOOKUP(portfolio_data!H33,portfolio_data!$K$7:$L$19,2,0),"")</f>
        <v xml:space="preserve">state_PA funds2 business_B2C industry_entertainment industry_apps </v>
      </c>
      <c r="E29" t="s">
        <v>103</v>
      </c>
      <c r="H29" t="str">
        <f t="shared" si="0"/>
        <v>{url: "https://anglr.com/", class: "state_PA funds2 business_B2C industry_entertainment industry_apps " ,img: "ANGLR"},</v>
      </c>
    </row>
    <row r="30" spans="1:16" x14ac:dyDescent="0.2">
      <c r="A30" s="8">
        <f>portfolio_data!B34</f>
        <v>42675</v>
      </c>
      <c r="B30" t="s">
        <v>104</v>
      </c>
      <c r="C30" t="s">
        <v>213</v>
      </c>
      <c r="D30" t="str">
        <f>"state_"&amp;portfolio_data!C34&amp;" "&amp;portfolio_data!D34&amp;" "&amp;VLOOKUP(portfolio_data!E34,portfolio_data!$K$2:$L$4,2,0)&amp;" "&amp;IFERROR(VLOOKUP(portfolio_data!F34,portfolio_data!$K$7:$L$19,2,0),"")&amp;" "&amp;IFERROR(VLOOKUP(portfolio_data!G34,portfolio_data!$K$7:$L$19,2,0),"")&amp;" "&amp;IFERROR(VLOOKUP(portfolio_data!H34,portfolio_data!$K$7:$L$19,2,0),"")</f>
        <v xml:space="preserve">state_OH funds2 business_B2C industry_ecommerce industry_apps </v>
      </c>
      <c r="E30" t="s">
        <v>104</v>
      </c>
      <c r="H30" t="str">
        <f t="shared" si="0"/>
        <v>{url: "https://cladwell.com/", class: "state_OH funds2 business_B2C industry_ecommerce industry_apps " ,img: "Cladwell"},</v>
      </c>
    </row>
    <row r="31" spans="1:16" x14ac:dyDescent="0.2">
      <c r="A31" s="8">
        <f>portfolio_data!B35</f>
        <v>42675</v>
      </c>
      <c r="B31" t="s">
        <v>105</v>
      </c>
      <c r="C31" t="s">
        <v>214</v>
      </c>
      <c r="D31" t="str">
        <f>"state_"&amp;portfolio_data!C35&amp;" "&amp;portfolio_data!D35&amp;" "&amp;VLOOKUP(portfolio_data!E35,portfolio_data!$K$2:$L$4,2,0)&amp;" "&amp;IFERROR(VLOOKUP(portfolio_data!F35,portfolio_data!$K$7:$L$19,2,0),"")&amp;" "&amp;IFERROR(VLOOKUP(portfolio_data!G35,portfolio_data!$K$7:$L$19,2,0),"")&amp;" "&amp;IFERROR(VLOOKUP(portfolio_data!H35,portfolio_data!$K$7:$L$19,2,0),"")</f>
        <v xml:space="preserve">state_MN funds2 business_B2B business_B2C industry_enterprise  </v>
      </c>
      <c r="E31" t="s">
        <v>249</v>
      </c>
      <c r="H31" t="str">
        <f t="shared" si="0"/>
        <v>{url: "http://www.branchmessenger.com/", class: "state_MN funds2 business_B2B business_B2C industry_enterprise  " ,img: "BranchMessenger"},</v>
      </c>
    </row>
    <row r="32" spans="1:16" x14ac:dyDescent="0.2">
      <c r="A32" s="8">
        <f>portfolio_data!B28</f>
        <v>42644</v>
      </c>
      <c r="B32" t="s">
        <v>98</v>
      </c>
      <c r="C32" t="s">
        <v>207</v>
      </c>
      <c r="D32" t="str">
        <f>"state_"&amp;portfolio_data!C28&amp;" "&amp;portfolio_data!D28&amp;" "&amp;VLOOKUP(portfolio_data!E28,portfolio_data!$K$2:$L$4,2,0)&amp;" "&amp;IFERROR(VLOOKUP(portfolio_data!F28,portfolio_data!$K$7:$L$19,2,0),"")&amp;" "&amp;IFERROR(VLOOKUP(portfolio_data!G28,portfolio_data!$K$7:$L$19,2,0),"")&amp;" "&amp;IFERROR(VLOOKUP(portfolio_data!H28,portfolio_data!$K$7:$L$19,2,0),"")</f>
        <v>state_IL funds2 business_B2B industry_analytics  industry_enterprise</v>
      </c>
      <c r="E32" t="s">
        <v>98</v>
      </c>
      <c r="H32" t="str">
        <f t="shared" si="0"/>
        <v>{url: "http://www.knowledgehound.com/", class: "state_IL funds2 business_B2B industry_analytics  industry_enterprise" ,img: "KnowledgeHound"},</v>
      </c>
    </row>
    <row r="33" spans="1:8" x14ac:dyDescent="0.2">
      <c r="A33" s="8">
        <f>portfolio_data!B29</f>
        <v>42644</v>
      </c>
      <c r="B33" t="s">
        <v>99</v>
      </c>
      <c r="C33" t="s">
        <v>208</v>
      </c>
      <c r="D33" t="str">
        <f>"state_"&amp;portfolio_data!C29&amp;" "&amp;portfolio_data!D29&amp;" "&amp;VLOOKUP(portfolio_data!E29,portfolio_data!$K$2:$L$4,2,0)&amp;" "&amp;IFERROR(VLOOKUP(portfolio_data!F29,portfolio_data!$K$7:$L$19,2,0),"")&amp;" "&amp;IFERROR(VLOOKUP(portfolio_data!G29,portfolio_data!$K$7:$L$19,2,0),"")&amp;" "&amp;IFERROR(VLOOKUP(portfolio_data!H29,portfolio_data!$K$7:$L$19,2,0),"")</f>
        <v xml:space="preserve">state_IL funds2 business_B2B business_B2C industry_ecommerce industry_marketing </v>
      </c>
      <c r="E33" t="s">
        <v>99</v>
      </c>
      <c r="H33" t="str">
        <f t="shared" si="0"/>
        <v>{url: "https://www.rewards21.com/", class: "state_IL funds2 business_B2B business_B2C industry_ecommerce industry_marketing " ,img: "Rewards21"},</v>
      </c>
    </row>
    <row r="34" spans="1:8" x14ac:dyDescent="0.2">
      <c r="A34" s="8">
        <f>portfolio_data!B30</f>
        <v>42644</v>
      </c>
      <c r="B34" t="s">
        <v>100</v>
      </c>
      <c r="C34" t="s">
        <v>209</v>
      </c>
      <c r="D34" t="str">
        <f>"state_"&amp;portfolio_data!C30&amp;" "&amp;portfolio_data!D30&amp;" "&amp;VLOOKUP(portfolio_data!E30,portfolio_data!$K$2:$L$4,2,0)&amp;" "&amp;IFERROR(VLOOKUP(portfolio_data!F30,portfolio_data!$K$7:$L$19,2,0),"")&amp;" "&amp;IFERROR(VLOOKUP(portfolio_data!G30,portfolio_data!$K$7:$L$19,2,0),"")&amp;" "&amp;IFERROR(VLOOKUP(portfolio_data!H30,portfolio_data!$K$7:$L$19,2,0),"")</f>
        <v xml:space="preserve">state_IL funds2 business_B2C industry_other  </v>
      </c>
      <c r="E34" t="s">
        <v>100</v>
      </c>
      <c r="H34" t="str">
        <f t="shared" si="0"/>
        <v>{url: "http://www.printwithme.com/", class: "state_IL funds2 business_B2C industry_other  " ,img: "PrintWithMe"},</v>
      </c>
    </row>
    <row r="35" spans="1:8" x14ac:dyDescent="0.2">
      <c r="A35" s="8">
        <f>portfolio_data!B31</f>
        <v>42644</v>
      </c>
      <c r="B35" t="s">
        <v>101</v>
      </c>
      <c r="C35" t="s">
        <v>210</v>
      </c>
      <c r="D35" t="str">
        <f>"state_"&amp;portfolio_data!C31&amp;" "&amp;portfolio_data!D31&amp;" "&amp;VLOOKUP(portfolio_data!E31,portfolio_data!$K$2:$L$4,2,0)&amp;" "&amp;IFERROR(VLOOKUP(portfolio_data!F31,portfolio_data!$K$7:$L$19,2,0),"")&amp;" "&amp;IFERROR(VLOOKUP(portfolio_data!G31,portfolio_data!$K$7:$L$19,2,0),"")&amp;" "&amp;IFERROR(VLOOKUP(portfolio_data!H31,portfolio_data!$K$7:$L$19,2,0),"")</f>
        <v>state_OH funds2 business_B2B industry_realestate industry_transportation industry_analytics</v>
      </c>
      <c r="E35" t="s">
        <v>101</v>
      </c>
      <c r="H35" t="str">
        <f t="shared" si="0"/>
        <v>{url: "http://spatial.ai/", class: "state_OH funds2 business_B2B industry_realestate industry_transportation industry_analytics" ,img: "Spatial"},</v>
      </c>
    </row>
    <row r="36" spans="1:8" x14ac:dyDescent="0.2">
      <c r="A36" s="8">
        <f>portfolio_data!B27</f>
        <v>42614</v>
      </c>
      <c r="B36" t="s">
        <v>97</v>
      </c>
      <c r="C36" t="s">
        <v>206</v>
      </c>
      <c r="D36" t="str">
        <f>"state_"&amp;portfolio_data!C27&amp;" "&amp;portfolio_data!D27&amp;" "&amp;VLOOKUP(portfolio_data!E27,portfolio_data!$K$2:$L$4,2,0)&amp;" "&amp;IFERROR(VLOOKUP(portfolio_data!F27,portfolio_data!$K$7:$L$19,2,0),"")&amp;" "&amp;IFERROR(VLOOKUP(portfolio_data!G27,portfolio_data!$K$7:$L$19,2,0),"")&amp;" "&amp;IFERROR(VLOOKUP(portfolio_data!H27,portfolio_data!$K$7:$L$19,2,0),"")</f>
        <v xml:space="preserve">state_IN funds2 business_B2B industry_realestate  </v>
      </c>
      <c r="E36" t="s">
        <v>97</v>
      </c>
      <c r="H36" t="str">
        <f t="shared" si="0"/>
        <v>{url: "https://realync.com/", class: "state_IN funds2 business_B2B industry_realestate  " ,img: "Realync"},</v>
      </c>
    </row>
    <row r="37" spans="1:8" x14ac:dyDescent="0.2">
      <c r="A37" s="8">
        <f>portfolio_data!B17</f>
        <v>42583</v>
      </c>
      <c r="B37" t="s">
        <v>88</v>
      </c>
      <c r="C37" t="s">
        <v>197</v>
      </c>
      <c r="D37" t="str">
        <f>"state_"&amp;portfolio_data!C17&amp;" "&amp;portfolio_data!D17&amp;" "&amp;VLOOKUP(portfolio_data!E17,portfolio_data!$K$2:$L$4,2,0)&amp;" "&amp;IFERROR(VLOOKUP(portfolio_data!F17,portfolio_data!$K$7:$L$19,2,0),"")&amp;" "&amp;IFERROR(VLOOKUP(portfolio_data!G17,portfolio_data!$K$7:$L$19,2,0),"")&amp;" "&amp;IFERROR(VLOOKUP(portfolio_data!H17,portfolio_data!$K$7:$L$19,2,0),"")</f>
        <v>state_IN funds1 business_B2B industry_education  industry_enterprise</v>
      </c>
      <c r="E37" t="s">
        <v>88</v>
      </c>
      <c r="H37" t="str">
        <f t="shared" si="0"/>
        <v>{url: "https://www.pactsafe.com/", class: "state_IN funds1 business_B2B industry_education  industry_enterprise" ,img: "PactSafe"},</v>
      </c>
    </row>
    <row r="38" spans="1:8" x14ac:dyDescent="0.2">
      <c r="A38" s="8">
        <f>portfolio_data!B26</f>
        <v>42583</v>
      </c>
      <c r="B38" t="s">
        <v>96</v>
      </c>
      <c r="C38" t="s">
        <v>205</v>
      </c>
      <c r="D38" t="str">
        <f>"state_"&amp;portfolio_data!C26&amp;" "&amp;portfolio_data!D26&amp;" "&amp;VLOOKUP(portfolio_data!E26,portfolio_data!$K$2:$L$4,2,0)&amp;" "&amp;IFERROR(VLOOKUP(portfolio_data!F26,portfolio_data!$K$7:$L$19,2,0),"")&amp;" "&amp;IFERROR(VLOOKUP(portfolio_data!G26,portfolio_data!$K$7:$L$19,2,0),"")&amp;" "&amp;IFERROR(VLOOKUP(portfolio_data!H26,portfolio_data!$K$7:$L$19,2,0),"")</f>
        <v xml:space="preserve">state_IL funds2 business_B2B industry_healthcare  </v>
      </c>
      <c r="E38" t="s">
        <v>248</v>
      </c>
      <c r="H38" t="str">
        <f t="shared" si="0"/>
        <v>{url: "http://explorersurgical.com/", class: "state_IL funds2 business_B2B industry_healthcare  " ,img: "ExplORerSurgical"},</v>
      </c>
    </row>
    <row r="39" spans="1:8" x14ac:dyDescent="0.2">
      <c r="A39" s="8">
        <f>portfolio_data!B4</f>
        <v>42552</v>
      </c>
      <c r="B39" t="s">
        <v>75</v>
      </c>
      <c r="C39" t="s">
        <v>184</v>
      </c>
      <c r="D39" t="str">
        <f>"state_"&amp;portfolio_data!C4&amp;" "&amp;portfolio_data!D4&amp;" "&amp;VLOOKUP(portfolio_data!E4,portfolio_data!$K$2:$L$4,2,0)&amp;" "&amp;IFERROR(VLOOKUP(portfolio_data!F4,portfolio_data!$K$7:$L$19,2,0),"")&amp;" "&amp;IFERROR(VLOOKUP(portfolio_data!G4,portfolio_data!$K$7:$L$19,2,0),"")&amp;" "&amp;IFERROR(VLOOKUP(portfolio_data!H4,portfolio_data!$K$7:$L$19,2,0),"")</f>
        <v xml:space="preserve">state_IL funds1 business_B2B business_B2C industry_education industry_analytics </v>
      </c>
      <c r="E39" t="s">
        <v>75</v>
      </c>
      <c r="H39" t="str">
        <f t="shared" si="0"/>
        <v>{url: "http://www.ballotready.org/", class: "state_IL funds1 business_B2B business_B2C industry_education industry_analytics " ,img: "BallotReady"},</v>
      </c>
    </row>
    <row r="40" spans="1:8" x14ac:dyDescent="0.2">
      <c r="A40" s="8">
        <f>portfolio_data!B25</f>
        <v>42552</v>
      </c>
      <c r="B40" t="s">
        <v>95</v>
      </c>
      <c r="C40" t="s">
        <v>204</v>
      </c>
      <c r="D40" t="str">
        <f>"state_"&amp;portfolio_data!C25&amp;" "&amp;portfolio_data!D25&amp;" "&amp;VLOOKUP(portfolio_data!E25,portfolio_data!$K$2:$L$4,2,0)&amp;" "&amp;IFERROR(VLOOKUP(portfolio_data!F25,portfolio_data!$K$7:$L$19,2,0),"")&amp;" "&amp;IFERROR(VLOOKUP(portfolio_data!G25,portfolio_data!$K$7:$L$19,2,0),"")&amp;" "&amp;IFERROR(VLOOKUP(portfolio_data!H25,portfolio_data!$K$7:$L$19,2,0),"")</f>
        <v xml:space="preserve">state_MI funds2 business_B2C industry_entertainment industry_apps </v>
      </c>
      <c r="E40" t="s">
        <v>247</v>
      </c>
      <c r="H40" t="str">
        <f t="shared" si="0"/>
        <v>{url: "https://sportsmantracker.com/", class: "state_MI funds2 business_B2C industry_entertainment industry_apps " ,img: "SportsmanTracker"},</v>
      </c>
    </row>
    <row r="41" spans="1:8" x14ac:dyDescent="0.2">
      <c r="A41" s="8">
        <f>portfolio_data!B9</f>
        <v>42522</v>
      </c>
      <c r="B41" t="s">
        <v>80</v>
      </c>
      <c r="C41" t="s">
        <v>189</v>
      </c>
      <c r="D41" t="str">
        <f>"state_"&amp;portfolio_data!C9&amp;" "&amp;portfolio_data!D9&amp;" "&amp;VLOOKUP(portfolio_data!E9,portfolio_data!$K$2:$L$4,2,0)&amp;" "&amp;IFERROR(VLOOKUP(portfolio_data!F9,portfolio_data!$K$7:$L$19,2,0),"")&amp;" "&amp;IFERROR(VLOOKUP(portfolio_data!G9,portfolio_data!$K$7:$L$19,2,0),"")&amp;" "&amp;IFERROR(VLOOKUP(portfolio_data!H9,portfolio_data!$K$7:$L$19,2,0),"")</f>
        <v xml:space="preserve">state_IN funds1 business_B2B industry_analytics  </v>
      </c>
      <c r="E41" t="s">
        <v>80</v>
      </c>
      <c r="H41" t="str">
        <f t="shared" si="0"/>
        <v>{url: "https://www.dattus.com/", class: "state_IN funds1 business_B2B industry_analytics  " ,img: "Dattus"},</v>
      </c>
    </row>
    <row r="42" spans="1:8" x14ac:dyDescent="0.2">
      <c r="A42" s="8">
        <f>portfolio_data!B14</f>
        <v>42522</v>
      </c>
      <c r="B42" t="s">
        <v>85</v>
      </c>
      <c r="C42" t="s">
        <v>194</v>
      </c>
      <c r="D42" t="str">
        <f>"state_"&amp;portfolio_data!C14&amp;" "&amp;portfolio_data!D14&amp;" "&amp;VLOOKUP(portfolio_data!E14,portfolio_data!$K$2:$L$4,2,0)&amp;" "&amp;IFERROR(VLOOKUP(portfolio_data!F14,portfolio_data!$K$7:$L$19,2,0),"")&amp;" "&amp;IFERROR(VLOOKUP(portfolio_data!G14,portfolio_data!$K$7:$L$19,2,0),"")&amp;" "&amp;IFERROR(VLOOKUP(portfolio_data!H14,portfolio_data!$K$7:$L$19,2,0),"")</f>
        <v xml:space="preserve">state_IL funds1 business_B2B industry_healthcare industry_analytics </v>
      </c>
      <c r="E42" t="s">
        <v>243</v>
      </c>
      <c r="H42" t="str">
        <f t="shared" si="0"/>
        <v>{url: "http://www.lunalights.org/", class: "state_IL funds1 business_B2B industry_healthcare industry_analytics " ,img: "LunaLights"},</v>
      </c>
    </row>
    <row r="43" spans="1:8" x14ac:dyDescent="0.2">
      <c r="A43" s="8">
        <f>portfolio_data!B7</f>
        <v>42491</v>
      </c>
      <c r="B43" t="s">
        <v>78</v>
      </c>
      <c r="C43" t="s">
        <v>187</v>
      </c>
      <c r="D43" t="str">
        <f>"state_"&amp;portfolio_data!C7&amp;" "&amp;portfolio_data!D7&amp;" "&amp;VLOOKUP(portfolio_data!E7,portfolio_data!$K$2:$L$4,2,0)&amp;" "&amp;IFERROR(VLOOKUP(portfolio_data!F7,portfolio_data!$K$7:$L$19,2,0),"")&amp;" "&amp;IFERROR(VLOOKUP(portfolio_data!G7,portfolio_data!$K$7:$L$19,2,0),"")&amp;" "&amp;IFERROR(VLOOKUP(portfolio_data!H7,portfolio_data!$K$7:$L$19,2,0),"")</f>
        <v>state_IL funds1 business_B2B business_B2C industry_marketing  industry_enterprise</v>
      </c>
      <c r="E43" t="s">
        <v>78</v>
      </c>
      <c r="H43" t="str">
        <f t="shared" si="0"/>
        <v>{url: "http://conceptdrop.com/", class: "state_IL funds1 business_B2B business_B2C industry_marketing  industry_enterprise" ,img: "ConceptDrop"},</v>
      </c>
    </row>
    <row r="44" spans="1:8" x14ac:dyDescent="0.2">
      <c r="A44" s="8">
        <f>portfolio_data!B13</f>
        <v>42491</v>
      </c>
      <c r="B44" t="s">
        <v>84</v>
      </c>
      <c r="C44" t="s">
        <v>193</v>
      </c>
      <c r="D44" t="str">
        <f>"state_"&amp;portfolio_data!C13&amp;" "&amp;portfolio_data!D13&amp;" "&amp;VLOOKUP(portfolio_data!E13,portfolio_data!$K$2:$L$4,2,0)&amp;" "&amp;IFERROR(VLOOKUP(portfolio_data!F13,portfolio_data!$K$7:$L$19,2,0),"")&amp;" "&amp;IFERROR(VLOOKUP(portfolio_data!G13,portfolio_data!$K$7:$L$19,2,0),"")&amp;" "&amp;IFERROR(VLOOKUP(portfolio_data!H13,portfolio_data!$K$7:$L$19,2,0),"")</f>
        <v>state_PA funds1 business_B2B   industry_enterprise</v>
      </c>
      <c r="E44" t="s">
        <v>242</v>
      </c>
      <c r="H44" t="str">
        <f t="shared" si="0"/>
        <v>{url: "http://jetpackworkflow.com/", class: "state_PA funds1 business_B2B   industry_enterprise" ,img: "JetPackWorkflow"},</v>
      </c>
    </row>
    <row r="45" spans="1:8" x14ac:dyDescent="0.2">
      <c r="A45" s="8">
        <f>portfolio_data!B18</f>
        <v>42491</v>
      </c>
      <c r="B45" t="s">
        <v>89</v>
      </c>
      <c r="C45" t="s">
        <v>198</v>
      </c>
      <c r="D45" t="str">
        <f>"state_"&amp;portfolio_data!C18&amp;" "&amp;portfolio_data!D18&amp;" "&amp;VLOOKUP(portfolio_data!E18,portfolio_data!$K$2:$L$4,2,0)&amp;" "&amp;IFERROR(VLOOKUP(portfolio_data!F18,portfolio_data!$K$7:$L$19,2,0),"")&amp;" "&amp;IFERROR(VLOOKUP(portfolio_data!G18,portfolio_data!$K$7:$L$19,2,0),"")&amp;" "&amp;IFERROR(VLOOKUP(portfolio_data!H18,portfolio_data!$K$7:$L$19,2,0),"")</f>
        <v>state_IL funds1 business_B2B industry_education  industry_enterprise</v>
      </c>
      <c r="E45" t="s">
        <v>246</v>
      </c>
      <c r="H45" t="str">
        <f t="shared" si="0"/>
        <v>{url: "https://www.page-vault.com/", class: "state_IL funds1 business_B2B industry_education  industry_enterprise" ,img: "PageVault"},</v>
      </c>
    </row>
    <row r="46" spans="1:8" x14ac:dyDescent="0.2">
      <c r="A46" s="8">
        <f>portfolio_data!B5</f>
        <v>42461</v>
      </c>
      <c r="B46" t="s">
        <v>76</v>
      </c>
      <c r="C46" t="s">
        <v>185</v>
      </c>
      <c r="D46" t="str">
        <f>"state_"&amp;portfolio_data!C5&amp;" "&amp;portfolio_data!D5&amp;" "&amp;VLOOKUP(portfolio_data!E5,portfolio_data!$K$2:$L$4,2,0)&amp;" "&amp;IFERROR(VLOOKUP(portfolio_data!F5,portfolio_data!$K$7:$L$19,2,0),"")&amp;" "&amp;IFERROR(VLOOKUP(portfolio_data!G5,portfolio_data!$K$7:$L$19,2,0),"")&amp;" "&amp;IFERROR(VLOOKUP(portfolio_data!H5,portfolio_data!$K$7:$L$19,2,0),"")</f>
        <v xml:space="preserve">state_IL funds1 business_B2B industry_entertainment industry_analytics </v>
      </c>
      <c r="E46" t="s">
        <v>181</v>
      </c>
      <c r="H46" t="str">
        <f t="shared" si="0"/>
        <v>{url: "http://www.blocksixanalytics.com/", class: "state_IL funds1 business_B2B industry_entertainment industry_analytics " ,img: "BlockSixAnalytics"},</v>
      </c>
    </row>
    <row r="47" spans="1:8" x14ac:dyDescent="0.2">
      <c r="A47" s="8">
        <f>portfolio_data!B19</f>
        <v>42461</v>
      </c>
      <c r="B47" t="s">
        <v>90</v>
      </c>
      <c r="C47" t="s">
        <v>199</v>
      </c>
      <c r="D47" t="str">
        <f>"state_"&amp;portfolio_data!C19&amp;" "&amp;portfolio_data!D19&amp;" "&amp;VLOOKUP(portfolio_data!E19,portfolio_data!$K$2:$L$4,2,0)&amp;" "&amp;IFERROR(VLOOKUP(portfolio_data!F19,portfolio_data!$K$7:$L$19,2,0),"")&amp;" "&amp;IFERROR(VLOOKUP(portfolio_data!G19,portfolio_data!$K$7:$L$19,2,0),"")&amp;" "&amp;IFERROR(VLOOKUP(portfolio_data!H19,portfolio_data!$K$7:$L$19,2,0),"")</f>
        <v xml:space="preserve">state_IL funds1 business_B2B industry_healthcare  </v>
      </c>
      <c r="E47" t="s">
        <v>245</v>
      </c>
      <c r="H47" t="str">
        <f t="shared" si="0"/>
        <v>{url: "https://regrouptherapy.com/", class: "state_IL funds1 business_B2B industry_healthcare  " ,img: "RegroupTherapy"},</v>
      </c>
    </row>
    <row r="48" spans="1:8" x14ac:dyDescent="0.2">
      <c r="A48" s="8">
        <f>portfolio_data!B6</f>
        <v>42430</v>
      </c>
      <c r="B48" t="s">
        <v>77</v>
      </c>
      <c r="C48" t="s">
        <v>186</v>
      </c>
      <c r="D48" t="str">
        <f>"state_"&amp;portfolio_data!C6&amp;" "&amp;portfolio_data!D6&amp;" "&amp;VLOOKUP(portfolio_data!E6,portfolio_data!$K$2:$L$4,2,0)&amp;" "&amp;IFERROR(VLOOKUP(portfolio_data!F6,portfolio_data!$K$7:$L$19,2,0),"")&amp;" "&amp;IFERROR(VLOOKUP(portfolio_data!G6,portfolio_data!$K$7:$L$19,2,0),"")&amp;" "&amp;IFERROR(VLOOKUP(portfolio_data!H6,portfolio_data!$K$7:$L$19,2,0),"")</f>
        <v xml:space="preserve">state_IN funds1 business_B2B industry_ecommerce industry_marketing </v>
      </c>
      <c r="E48" t="s">
        <v>77</v>
      </c>
      <c r="H48" t="str">
        <f t="shared" si="0"/>
        <v>{url: "http://www.boxfox.co/", class: "state_IN funds1 business_B2B industry_ecommerce industry_marketing " ,img: "BoxFox"},</v>
      </c>
    </row>
    <row r="49" spans="1:8" x14ac:dyDescent="0.2">
      <c r="A49" s="8">
        <f>portfolio_data!B10</f>
        <v>42430</v>
      </c>
      <c r="B49" t="s">
        <v>81</v>
      </c>
      <c r="C49" t="s">
        <v>190</v>
      </c>
      <c r="D49" t="str">
        <f>"state_"&amp;portfolio_data!C10&amp;" "&amp;portfolio_data!D10&amp;" "&amp;VLOOKUP(portfolio_data!E10,portfolio_data!$K$2:$L$4,2,0)&amp;" "&amp;IFERROR(VLOOKUP(portfolio_data!F10,portfolio_data!$K$7:$L$19,2,0),"")&amp;" "&amp;IFERROR(VLOOKUP(portfolio_data!G10,portfolio_data!$K$7:$L$19,2,0),"")&amp;" "&amp;IFERROR(VLOOKUP(portfolio_data!H10,portfolio_data!$K$7:$L$19,2,0),"")</f>
        <v xml:space="preserve">state_IL funds1 business_B2C industry_food industry_other </v>
      </c>
      <c r="E49" t="s">
        <v>241</v>
      </c>
      <c r="H49" t="str">
        <f t="shared" si="0"/>
        <v>{url: "http://eastmanegg.com/", class: "state_IL funds1 business_B2C industry_food industry_other " ,img: "EastmanEgg"},</v>
      </c>
    </row>
    <row r="50" spans="1:8" x14ac:dyDescent="0.2">
      <c r="A50" s="8">
        <f>portfolio_data!B20</f>
        <v>42430</v>
      </c>
      <c r="B50" t="s">
        <v>91</v>
      </c>
      <c r="C50" t="s">
        <v>200</v>
      </c>
      <c r="D50" t="str">
        <f>"state_"&amp;portfolio_data!C20&amp;" "&amp;portfolio_data!D20&amp;" "&amp;VLOOKUP(portfolio_data!E20,portfolio_data!$K$2:$L$4,2,0)&amp;" "&amp;IFERROR(VLOOKUP(portfolio_data!F20,portfolio_data!$K$7:$L$19,2,0),"")&amp;" "&amp;IFERROR(VLOOKUP(portfolio_data!G20,portfolio_data!$K$7:$L$19,2,0),"")&amp;" "&amp;IFERROR(VLOOKUP(portfolio_data!H20,portfolio_data!$K$7:$L$19,2,0),"")</f>
        <v xml:space="preserve">state_WI funds1 business_B2B industry_analytics  </v>
      </c>
      <c r="E50" t="s">
        <v>91</v>
      </c>
      <c r="H50" t="str">
        <f t="shared" si="0"/>
        <v>{url: "http://www.scanalyticsinc.com/", class: "state_WI funds1 business_B2B industry_analytics  " ,img: "Scanalytics"},</v>
      </c>
    </row>
    <row r="51" spans="1:8" x14ac:dyDescent="0.2">
      <c r="A51" s="8">
        <f>portfolio_data!B8</f>
        <v>42309</v>
      </c>
      <c r="B51" t="s">
        <v>79</v>
      </c>
      <c r="C51" t="s">
        <v>188</v>
      </c>
      <c r="D51" t="str">
        <f>"state_"&amp;portfolio_data!C8&amp;" "&amp;portfolio_data!D8&amp;" "&amp;VLOOKUP(portfolio_data!E8,portfolio_data!$K$2:$L$4,2,0)&amp;" "&amp;IFERROR(VLOOKUP(portfolio_data!F8,portfolio_data!$K$7:$L$19,2,0),"")&amp;" "&amp;IFERROR(VLOOKUP(portfolio_data!G8,portfolio_data!$K$7:$L$19,2,0),"")&amp;" "&amp;IFERROR(VLOOKUP(portfolio_data!H8,portfolio_data!$K$7:$L$19,2,0),"")</f>
        <v xml:space="preserve">state_IL funds1 business_B2C industry_marketing  </v>
      </c>
      <c r="E51" t="s">
        <v>79</v>
      </c>
      <c r="H51" t="str">
        <f t="shared" si="0"/>
        <v>{url: "http://www.dabble.co/", class: "state_IL funds1 business_B2C industry_marketing  " ,img: "Dabble"},</v>
      </c>
    </row>
    <row r="52" spans="1:8" x14ac:dyDescent="0.2">
      <c r="A52" s="8">
        <f>portfolio_data!B12</f>
        <v>42278</v>
      </c>
      <c r="B52" t="s">
        <v>83</v>
      </c>
      <c r="C52" t="s">
        <v>192</v>
      </c>
      <c r="D52" t="str">
        <f>"state_"&amp;portfolio_data!C12&amp;" "&amp;portfolio_data!D12&amp;" "&amp;VLOOKUP(portfolio_data!E12,portfolio_data!$K$2:$L$4,2,0)&amp;" "&amp;IFERROR(VLOOKUP(portfolio_data!F12,portfolio_data!$K$7:$L$19,2,0),"")&amp;" "&amp;IFERROR(VLOOKUP(portfolio_data!G12,portfolio_data!$K$7:$L$19,2,0),"")&amp;" "&amp;IFERROR(VLOOKUP(portfolio_data!H12,portfolio_data!$K$7:$L$19,2,0),"")</f>
        <v xml:space="preserve">state_IL funds1 business_B2B industry_entertainment  </v>
      </c>
      <c r="E52" t="s">
        <v>83</v>
      </c>
      <c r="H52" t="str">
        <f t="shared" si="0"/>
        <v>{url: "http://www.wearehearken.com/", class: "state_IL funds1 business_B2B industry_entertainment  " ,img: "Hearken"},</v>
      </c>
    </row>
    <row r="53" spans="1:8" x14ac:dyDescent="0.2">
      <c r="A53" s="8">
        <f>portfolio_data!B16</f>
        <v>42278</v>
      </c>
      <c r="B53" t="s">
        <v>87</v>
      </c>
      <c r="C53" t="s">
        <v>196</v>
      </c>
      <c r="D53" t="str">
        <f>"state_"&amp;portfolio_data!C16&amp;" "&amp;portfolio_data!D16&amp;" "&amp;VLOOKUP(portfolio_data!E16,portfolio_data!$K$2:$L$4,2,0)&amp;" "&amp;IFERROR(VLOOKUP(portfolio_data!F16,portfolio_data!$K$7:$L$19,2,0),"")&amp;" "&amp;IFERROR(VLOOKUP(portfolio_data!G16,portfolio_data!$K$7:$L$19,2,0),"")&amp;" "&amp;IFERROR(VLOOKUP(portfolio_data!H16,portfolio_data!$K$7:$L$19,2,0),"")</f>
        <v xml:space="preserve">state_IL funds1 business_B2C industry_entertainment industry_apps </v>
      </c>
      <c r="E53" t="s">
        <v>244</v>
      </c>
      <c r="H53" t="str">
        <f t="shared" si="0"/>
        <v>{url: "http://pairade.com/", class: "state_IL funds1 business_B2C industry_entertainment industry_apps " ,img: "Pairade"},</v>
      </c>
    </row>
    <row r="54" spans="1:8" x14ac:dyDescent="0.2">
      <c r="A54" s="8">
        <f>portfolio_data!B23</f>
        <v>42278</v>
      </c>
      <c r="B54" t="s">
        <v>94</v>
      </c>
      <c r="C54" t="s">
        <v>203</v>
      </c>
      <c r="D54" t="str">
        <f>"state_"&amp;portfolio_data!C23&amp;" "&amp;portfolio_data!D23&amp;" "&amp;VLOOKUP(portfolio_data!E23,portfolio_data!$K$2:$L$4,2,0)&amp;" "&amp;IFERROR(VLOOKUP(portfolio_data!F23,portfolio_data!$K$7:$L$19,2,0),"")&amp;" "&amp;IFERROR(VLOOKUP(portfolio_data!G23,portfolio_data!$K$7:$L$19,2,0),"")&amp;" "&amp;IFERROR(VLOOKUP(portfolio_data!H23,portfolio_data!$K$7:$L$19,2,0),"")</f>
        <v xml:space="preserve">state_IL funds1 business_B2C industry_ecommerce  </v>
      </c>
      <c r="E54" t="s">
        <v>94</v>
      </c>
      <c r="H54" t="str">
        <f t="shared" si="0"/>
        <v>{url: "http://www.zipfitdenim.com/", class: "state_IL funds1 business_B2C industry_ecommerce  " ,img: "ZipFit"},</v>
      </c>
    </row>
    <row r="55" spans="1:8" x14ac:dyDescent="0.2">
      <c r="A55" s="8">
        <f>portfolio_data!B21</f>
        <v>42248</v>
      </c>
      <c r="B55" t="s">
        <v>92</v>
      </c>
      <c r="C55" t="s">
        <v>201</v>
      </c>
      <c r="D55" t="str">
        <f>"state_"&amp;portfolio_data!C21&amp;" "&amp;portfolio_data!D21&amp;" "&amp;VLOOKUP(portfolio_data!E21,portfolio_data!$K$2:$L$4,2,0)&amp;" "&amp;IFERROR(VLOOKUP(portfolio_data!F21,portfolio_data!$K$7:$L$19,2,0),"")&amp;" "&amp;IFERROR(VLOOKUP(portfolio_data!G21,portfolio_data!$K$7:$L$19,2,0),"")&amp;" "&amp;IFERROR(VLOOKUP(portfolio_data!H21,portfolio_data!$K$7:$L$19,2,0),"")</f>
        <v xml:space="preserve">state_IL funds1 business_B2B industry_marketing  </v>
      </c>
      <c r="E55" t="s">
        <v>92</v>
      </c>
      <c r="H55" t="str">
        <f t="shared" si="0"/>
        <v>{url: "http://www.sentictechnologies.com/", class: "state_IL funds1 business_B2B industry_marketing  " ,img: "Sentic"},</v>
      </c>
    </row>
    <row r="56" spans="1:8" x14ac:dyDescent="0.2">
      <c r="A56" s="8">
        <f>portfolio_data!B22</f>
        <v>42248</v>
      </c>
      <c r="B56" t="s">
        <v>93</v>
      </c>
      <c r="C56" t="s">
        <v>202</v>
      </c>
      <c r="D56" t="str">
        <f>"state_"&amp;portfolio_data!C22&amp;" "&amp;portfolio_data!D22&amp;" "&amp;VLOOKUP(portfolio_data!E22,portfolio_data!$K$2:$L$4,2,0)&amp;" "&amp;IFERROR(VLOOKUP(portfolio_data!F22,portfolio_data!$K$7:$L$19,2,0),"")&amp;" "&amp;IFERROR(VLOOKUP(portfolio_data!G22,portfolio_data!$K$7:$L$19,2,0),"")&amp;" "&amp;IFERROR(VLOOKUP(portfolio_data!H22,portfolio_data!$K$7:$L$19,2,0),"")</f>
        <v xml:space="preserve">state_IN funds1 business_B2C industry_education  </v>
      </c>
      <c r="E56" t="s">
        <v>93</v>
      </c>
      <c r="H56" t="str">
        <f t="shared" si="0"/>
        <v>{url: "http://www.skyepack.com/", class: "state_IN funds1 business_B2C industry_education  " ,img: "Skyepack"},</v>
      </c>
    </row>
    <row r="57" spans="1:8" x14ac:dyDescent="0.2">
      <c r="A57" s="8">
        <f>portfolio_data!B11</f>
        <v>42217</v>
      </c>
      <c r="B57" t="s">
        <v>82</v>
      </c>
      <c r="C57" t="s">
        <v>191</v>
      </c>
      <c r="D57" t="str">
        <f>"state_"&amp;portfolio_data!C11&amp;" "&amp;portfolio_data!D11&amp;" "&amp;VLOOKUP(portfolio_data!E11,portfolio_data!$K$2:$L$4,2,0)&amp;" "&amp;IFERROR(VLOOKUP(portfolio_data!F11,portfolio_data!$K$7:$L$19,2,0),"")&amp;" "&amp;IFERROR(VLOOKUP(portfolio_data!G11,portfolio_data!$K$7:$L$19,2,0),"")&amp;" "&amp;IFERROR(VLOOKUP(portfolio_data!H11,portfolio_data!$K$7:$L$19,2,0),"")</f>
        <v xml:space="preserve">state_IL funds1 business_B2C industry_finance  </v>
      </c>
      <c r="E57" t="s">
        <v>82</v>
      </c>
      <c r="H57" t="str">
        <f t="shared" si="0"/>
        <v>{url: "https://www.glidera.io/", class: "state_IL funds1 business_B2C industry_finance  " ,img: "Glidera"},</v>
      </c>
    </row>
    <row r="58" spans="1:8" x14ac:dyDescent="0.2">
      <c r="A58" s="8">
        <f>portfolio_data!B15</f>
        <v>42217</v>
      </c>
      <c r="B58" t="s">
        <v>86</v>
      </c>
      <c r="C58" t="s">
        <v>195</v>
      </c>
      <c r="D58" t="str">
        <f>"state_"&amp;portfolio_data!C15&amp;" "&amp;portfolio_data!D15&amp;" "&amp;VLOOKUP(portfolio_data!E15,portfolio_data!$K$2:$L$4,2,0)&amp;" "&amp;IFERROR(VLOOKUP(portfolio_data!F15,portfolio_data!$K$7:$L$19,2,0),"")&amp;" "&amp;IFERROR(VLOOKUP(portfolio_data!G15,portfolio_data!$K$7:$L$19,2,0),"")&amp;" "&amp;IFERROR(VLOOKUP(portfolio_data!H15,portfolio_data!$K$7:$L$19,2,0),"")</f>
        <v xml:space="preserve">state_IN funds1 business_B2B business_B2C industry_education  </v>
      </c>
      <c r="E58" t="s">
        <v>86</v>
      </c>
      <c r="H58" t="str">
        <f t="shared" si="0"/>
        <v>{url: "https://mimirhq.com/", class: "state_IN funds1 business_B2B business_B2C industry_education  " ,img: "Mimir"},</v>
      </c>
    </row>
    <row r="59" spans="1:8" x14ac:dyDescent="0.2">
      <c r="A59" s="8">
        <f>portfolio_data!B3</f>
        <v>42156</v>
      </c>
      <c r="B59" t="s">
        <v>74</v>
      </c>
      <c r="C59" t="s">
        <v>183</v>
      </c>
      <c r="D59" t="str">
        <f>"state_"&amp;portfolio_data!C3&amp;" "&amp;portfolio_data!D3&amp;" "&amp;VLOOKUP(portfolio_data!E3,portfolio_data!$K$2:$L$4,2,0)&amp;" "&amp;IFERROR(VLOOKUP(portfolio_data!F3,portfolio_data!$K$7:$L$19,2,0),"")&amp;" "&amp;IFERROR(VLOOKUP(portfolio_data!G3,portfolio_data!$K$7:$L$19,2,0),"")&amp;" "&amp;IFERROR(VLOOKUP(portfolio_data!H3,portfolio_data!$K$7:$L$19,2,0),"")</f>
        <v xml:space="preserve">state_IN funds1 business_B2B industry_enterprise  </v>
      </c>
      <c r="E59" t="s">
        <v>182</v>
      </c>
      <c r="H59" t="str">
        <f t="shared" si="0"/>
        <v>{url: "https://www.app-press.com/", class: "state_IN funds1 business_B2B industry_enterprise  " ,img: "AppPress"},</v>
      </c>
    </row>
    <row r="60" spans="1:8" x14ac:dyDescent="0.2">
      <c r="A60" s="8"/>
    </row>
    <row r="61" spans="1:8" x14ac:dyDescent="0.2">
      <c r="A61" s="8"/>
    </row>
  </sheetData>
  <sortState ref="A2:E59">
    <sortCondition descending="1"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5"/>
  <sheetViews>
    <sheetView workbookViewId="0">
      <selection activeCell="K12" sqref="K12"/>
    </sheetView>
  </sheetViews>
  <sheetFormatPr baseColWidth="10" defaultRowHeight="16" x14ac:dyDescent="0.2"/>
  <cols>
    <col min="1" max="1" width="23.6640625" bestFit="1" customWidth="1"/>
    <col min="2" max="2" width="12.83203125" bestFit="1" customWidth="1"/>
    <col min="3" max="3" width="5" bestFit="1" customWidth="1"/>
    <col min="4" max="4" width="9.5" bestFit="1" customWidth="1"/>
    <col min="5" max="5" width="8.6640625" bestFit="1" customWidth="1"/>
    <col min="6" max="6" width="32" bestFit="1" customWidth="1"/>
    <col min="7" max="7" width="27.1640625" bestFit="1" customWidth="1"/>
    <col min="8" max="8" width="22.6640625" bestFit="1" customWidth="1"/>
    <col min="11" max="11" width="23.83203125" bestFit="1" customWidth="1"/>
  </cols>
  <sheetData>
    <row r="1" spans="1:12" x14ac:dyDescent="0.2">
      <c r="A1" s="3" t="s">
        <v>132</v>
      </c>
      <c r="B1" s="6" t="s">
        <v>163</v>
      </c>
      <c r="C1" s="3" t="s">
        <v>133</v>
      </c>
      <c r="D1" s="4">
        <v>1</v>
      </c>
      <c r="E1" s="4">
        <v>2</v>
      </c>
      <c r="F1" s="3"/>
      <c r="G1" s="4">
        <v>3</v>
      </c>
      <c r="H1" s="4">
        <v>4</v>
      </c>
    </row>
    <row r="2" spans="1:12" x14ac:dyDescent="0.2">
      <c r="A2" s="3"/>
      <c r="B2" s="7"/>
      <c r="C2" s="3"/>
      <c r="D2" s="4" t="s">
        <v>134</v>
      </c>
      <c r="E2" s="4" t="s">
        <v>135</v>
      </c>
      <c r="F2" s="4" t="s">
        <v>136</v>
      </c>
      <c r="G2" s="4"/>
      <c r="H2" s="3"/>
      <c r="K2" s="3" t="s">
        <v>139</v>
      </c>
      <c r="L2" s="3" t="s">
        <v>164</v>
      </c>
    </row>
    <row r="3" spans="1:12" x14ac:dyDescent="0.2">
      <c r="A3" s="2" t="s">
        <v>74</v>
      </c>
      <c r="B3" s="9">
        <v>42156</v>
      </c>
      <c r="C3" s="3" t="s">
        <v>137</v>
      </c>
      <c r="D3" s="4" t="s">
        <v>138</v>
      </c>
      <c r="E3" s="4" t="s">
        <v>139</v>
      </c>
      <c r="F3" s="5" t="s">
        <v>140</v>
      </c>
      <c r="G3" s="5"/>
      <c r="H3" s="5"/>
      <c r="K3" s="3" t="s">
        <v>135</v>
      </c>
      <c r="L3" s="3" t="s">
        <v>165</v>
      </c>
    </row>
    <row r="4" spans="1:12" x14ac:dyDescent="0.2">
      <c r="A4" s="2" t="s">
        <v>75</v>
      </c>
      <c r="B4" s="9">
        <v>42552</v>
      </c>
      <c r="C4" s="3" t="s">
        <v>141</v>
      </c>
      <c r="D4" s="4" t="s">
        <v>138</v>
      </c>
      <c r="E4" s="4" t="s">
        <v>135</v>
      </c>
      <c r="F4" s="5" t="s">
        <v>142</v>
      </c>
      <c r="G4" s="5" t="s">
        <v>143</v>
      </c>
      <c r="H4" s="3"/>
      <c r="K4" s="3" t="s">
        <v>146</v>
      </c>
      <c r="L4" s="3" t="s">
        <v>166</v>
      </c>
    </row>
    <row r="5" spans="1:12" x14ac:dyDescent="0.2">
      <c r="A5" s="2" t="s">
        <v>76</v>
      </c>
      <c r="B5" s="9">
        <v>42461</v>
      </c>
      <c r="C5" s="3" t="s">
        <v>141</v>
      </c>
      <c r="D5" s="4" t="s">
        <v>138</v>
      </c>
      <c r="E5" s="4" t="s">
        <v>139</v>
      </c>
      <c r="F5" s="5" t="s">
        <v>144</v>
      </c>
      <c r="G5" s="5" t="s">
        <v>143</v>
      </c>
      <c r="H5" s="3"/>
    </row>
    <row r="6" spans="1:12" x14ac:dyDescent="0.2">
      <c r="A6" s="2" t="s">
        <v>77</v>
      </c>
      <c r="B6" s="9">
        <v>42430</v>
      </c>
      <c r="C6" s="3" t="s">
        <v>137</v>
      </c>
      <c r="D6" s="4" t="s">
        <v>138</v>
      </c>
      <c r="E6" s="4" t="s">
        <v>139</v>
      </c>
      <c r="F6" s="5" t="s">
        <v>145</v>
      </c>
      <c r="G6" s="3" t="s">
        <v>50</v>
      </c>
      <c r="H6" s="3"/>
    </row>
    <row r="7" spans="1:12" x14ac:dyDescent="0.2">
      <c r="A7" s="2" t="s">
        <v>78</v>
      </c>
      <c r="B7" s="9">
        <v>42491</v>
      </c>
      <c r="C7" s="3" t="s">
        <v>141</v>
      </c>
      <c r="D7" s="4" t="s">
        <v>138</v>
      </c>
      <c r="E7" s="4" t="s">
        <v>135</v>
      </c>
      <c r="F7" s="3" t="s">
        <v>50</v>
      </c>
      <c r="G7" s="3"/>
      <c r="H7" s="5" t="s">
        <v>140</v>
      </c>
      <c r="K7" s="3" t="s">
        <v>143</v>
      </c>
      <c r="L7" s="3" t="s">
        <v>167</v>
      </c>
    </row>
    <row r="8" spans="1:12" x14ac:dyDescent="0.2">
      <c r="A8" s="2" t="s">
        <v>79</v>
      </c>
      <c r="B8" s="9">
        <v>42309</v>
      </c>
      <c r="C8" s="3" t="s">
        <v>141</v>
      </c>
      <c r="D8" s="4" t="s">
        <v>138</v>
      </c>
      <c r="E8" s="4" t="s">
        <v>146</v>
      </c>
      <c r="F8" s="3" t="s">
        <v>50</v>
      </c>
      <c r="G8" s="3"/>
      <c r="H8" s="3"/>
      <c r="K8" s="3" t="s">
        <v>152</v>
      </c>
      <c r="L8" s="3" t="s">
        <v>168</v>
      </c>
    </row>
    <row r="9" spans="1:12" x14ac:dyDescent="0.2">
      <c r="A9" s="2" t="s">
        <v>80</v>
      </c>
      <c r="B9" s="9">
        <v>42522</v>
      </c>
      <c r="C9" s="3" t="s">
        <v>137</v>
      </c>
      <c r="D9" s="4" t="s">
        <v>138</v>
      </c>
      <c r="E9" s="4" t="s">
        <v>139</v>
      </c>
      <c r="F9" s="5" t="s">
        <v>143</v>
      </c>
      <c r="G9" s="5"/>
      <c r="H9" s="3"/>
      <c r="K9" s="3" t="s">
        <v>145</v>
      </c>
      <c r="L9" s="3" t="s">
        <v>169</v>
      </c>
    </row>
    <row r="10" spans="1:12" x14ac:dyDescent="0.2">
      <c r="A10" s="2" t="s">
        <v>81</v>
      </c>
      <c r="B10" s="9">
        <v>42430</v>
      </c>
      <c r="C10" s="3" t="s">
        <v>141</v>
      </c>
      <c r="D10" s="4" t="s">
        <v>138</v>
      </c>
      <c r="E10" s="4" t="s">
        <v>146</v>
      </c>
      <c r="F10" s="3" t="s">
        <v>147</v>
      </c>
      <c r="G10" s="5" t="s">
        <v>148</v>
      </c>
      <c r="H10" s="3"/>
      <c r="K10" s="3" t="s">
        <v>142</v>
      </c>
      <c r="L10" s="3" t="s">
        <v>170</v>
      </c>
    </row>
    <row r="11" spans="1:12" x14ac:dyDescent="0.2">
      <c r="A11" s="2" t="s">
        <v>82</v>
      </c>
      <c r="B11" s="9">
        <v>42217</v>
      </c>
      <c r="C11" s="3" t="s">
        <v>141</v>
      </c>
      <c r="D11" s="4" t="s">
        <v>138</v>
      </c>
      <c r="E11" s="4" t="s">
        <v>146</v>
      </c>
      <c r="F11" s="3" t="s">
        <v>149</v>
      </c>
      <c r="G11" s="3"/>
      <c r="H11" s="3"/>
      <c r="K11" s="3" t="s">
        <v>140</v>
      </c>
      <c r="L11" s="3" t="s">
        <v>171</v>
      </c>
    </row>
    <row r="12" spans="1:12" x14ac:dyDescent="0.2">
      <c r="A12" s="2" t="s">
        <v>83</v>
      </c>
      <c r="B12" s="9">
        <v>42278</v>
      </c>
      <c r="C12" s="3" t="s">
        <v>141</v>
      </c>
      <c r="D12" s="4" t="s">
        <v>138</v>
      </c>
      <c r="E12" s="4" t="s">
        <v>139</v>
      </c>
      <c r="F12" s="5" t="s">
        <v>144</v>
      </c>
      <c r="G12" s="3"/>
      <c r="H12" s="3"/>
      <c r="K12" s="3" t="s">
        <v>144</v>
      </c>
      <c r="L12" s="3" t="s">
        <v>172</v>
      </c>
    </row>
    <row r="13" spans="1:12" x14ac:dyDescent="0.2">
      <c r="A13" s="2" t="s">
        <v>84</v>
      </c>
      <c r="B13" s="9">
        <v>42491</v>
      </c>
      <c r="C13" s="3" t="s">
        <v>150</v>
      </c>
      <c r="D13" s="4" t="s">
        <v>138</v>
      </c>
      <c r="E13" s="4" t="s">
        <v>139</v>
      </c>
      <c r="F13" s="5"/>
      <c r="G13" s="3"/>
      <c r="H13" s="5" t="s">
        <v>140</v>
      </c>
      <c r="K13" s="3" t="s">
        <v>149</v>
      </c>
      <c r="L13" s="3" t="s">
        <v>173</v>
      </c>
    </row>
    <row r="14" spans="1:12" x14ac:dyDescent="0.2">
      <c r="A14" s="2" t="s">
        <v>85</v>
      </c>
      <c r="B14" s="9">
        <v>42522</v>
      </c>
      <c r="C14" s="3" t="s">
        <v>141</v>
      </c>
      <c r="D14" s="4" t="s">
        <v>138</v>
      </c>
      <c r="E14" s="4" t="s">
        <v>139</v>
      </c>
      <c r="F14" s="3" t="s">
        <v>151</v>
      </c>
      <c r="G14" s="5" t="s">
        <v>143</v>
      </c>
      <c r="H14" s="3"/>
      <c r="K14" s="3" t="s">
        <v>147</v>
      </c>
      <c r="L14" s="3" t="s">
        <v>174</v>
      </c>
    </row>
    <row r="15" spans="1:12" x14ac:dyDescent="0.2">
      <c r="A15" s="2" t="s">
        <v>86</v>
      </c>
      <c r="B15" s="9">
        <v>42217</v>
      </c>
      <c r="C15" s="3" t="s">
        <v>137</v>
      </c>
      <c r="D15" s="4" t="s">
        <v>138</v>
      </c>
      <c r="E15" s="4" t="s">
        <v>135</v>
      </c>
      <c r="F15" s="5" t="s">
        <v>142</v>
      </c>
      <c r="G15" s="3"/>
      <c r="H15" s="3"/>
      <c r="K15" s="3" t="s">
        <v>151</v>
      </c>
      <c r="L15" s="3" t="s">
        <v>175</v>
      </c>
    </row>
    <row r="16" spans="1:12" x14ac:dyDescent="0.2">
      <c r="A16" s="2" t="s">
        <v>87</v>
      </c>
      <c r="B16" s="9">
        <v>42278</v>
      </c>
      <c r="C16" s="3" t="s">
        <v>141</v>
      </c>
      <c r="D16" s="4" t="s">
        <v>138</v>
      </c>
      <c r="E16" s="4" t="s">
        <v>146</v>
      </c>
      <c r="F16" s="5" t="s">
        <v>144</v>
      </c>
      <c r="G16" s="5" t="s">
        <v>152</v>
      </c>
      <c r="H16" s="3"/>
      <c r="K16" s="3" t="s">
        <v>50</v>
      </c>
      <c r="L16" s="3" t="s">
        <v>176</v>
      </c>
    </row>
    <row r="17" spans="1:12" x14ac:dyDescent="0.2">
      <c r="A17" s="2" t="s">
        <v>88</v>
      </c>
      <c r="B17" s="9">
        <v>42583</v>
      </c>
      <c r="C17" s="3" t="s">
        <v>137</v>
      </c>
      <c r="D17" s="4" t="s">
        <v>138</v>
      </c>
      <c r="E17" s="4" t="s">
        <v>139</v>
      </c>
      <c r="F17" s="5" t="s">
        <v>142</v>
      </c>
      <c r="G17" s="3"/>
      <c r="H17" s="5" t="s">
        <v>140</v>
      </c>
      <c r="K17" s="3" t="s">
        <v>148</v>
      </c>
      <c r="L17" s="3" t="s">
        <v>177</v>
      </c>
    </row>
    <row r="18" spans="1:12" x14ac:dyDescent="0.2">
      <c r="A18" s="2" t="s">
        <v>89</v>
      </c>
      <c r="B18" s="9">
        <v>42491</v>
      </c>
      <c r="C18" s="3" t="s">
        <v>141</v>
      </c>
      <c r="D18" s="4" t="s">
        <v>138</v>
      </c>
      <c r="E18" s="4" t="s">
        <v>139</v>
      </c>
      <c r="F18" s="5" t="s">
        <v>142</v>
      </c>
      <c r="G18" s="3"/>
      <c r="H18" s="5" t="s">
        <v>140</v>
      </c>
      <c r="K18" s="3" t="s">
        <v>156</v>
      </c>
      <c r="L18" s="3" t="s">
        <v>178</v>
      </c>
    </row>
    <row r="19" spans="1:12" x14ac:dyDescent="0.2">
      <c r="A19" s="2" t="s">
        <v>90</v>
      </c>
      <c r="B19" s="9">
        <v>42461</v>
      </c>
      <c r="C19" s="3" t="s">
        <v>141</v>
      </c>
      <c r="D19" s="4" t="s">
        <v>138</v>
      </c>
      <c r="E19" s="4" t="s">
        <v>139</v>
      </c>
      <c r="F19" s="3" t="s">
        <v>151</v>
      </c>
      <c r="G19" s="3"/>
      <c r="H19" s="3"/>
      <c r="K19" s="3" t="s">
        <v>158</v>
      </c>
      <c r="L19" s="3" t="s">
        <v>179</v>
      </c>
    </row>
    <row r="20" spans="1:12" x14ac:dyDescent="0.2">
      <c r="A20" s="2" t="s">
        <v>91</v>
      </c>
      <c r="B20" s="9">
        <v>42430</v>
      </c>
      <c r="C20" s="3" t="s">
        <v>153</v>
      </c>
      <c r="D20" s="4" t="s">
        <v>138</v>
      </c>
      <c r="E20" s="4" t="s">
        <v>139</v>
      </c>
      <c r="F20" s="5" t="s">
        <v>143</v>
      </c>
      <c r="G20" s="3"/>
      <c r="H20" s="3"/>
    </row>
    <row r="21" spans="1:12" x14ac:dyDescent="0.2">
      <c r="A21" s="2" t="s">
        <v>92</v>
      </c>
      <c r="B21" s="9">
        <v>42248</v>
      </c>
      <c r="C21" s="3" t="s">
        <v>141</v>
      </c>
      <c r="D21" s="4" t="s">
        <v>138</v>
      </c>
      <c r="E21" s="4" t="s">
        <v>139</v>
      </c>
      <c r="F21" s="3" t="s">
        <v>50</v>
      </c>
      <c r="G21" s="3"/>
      <c r="H21" s="3"/>
    </row>
    <row r="22" spans="1:12" x14ac:dyDescent="0.2">
      <c r="A22" s="2" t="s">
        <v>93</v>
      </c>
      <c r="B22" s="9">
        <v>42248</v>
      </c>
      <c r="C22" s="3" t="s">
        <v>137</v>
      </c>
      <c r="D22" s="4" t="s">
        <v>138</v>
      </c>
      <c r="E22" s="4" t="s">
        <v>146</v>
      </c>
      <c r="F22" s="5" t="s">
        <v>142</v>
      </c>
      <c r="G22" s="3"/>
      <c r="H22" s="3"/>
    </row>
    <row r="23" spans="1:12" x14ac:dyDescent="0.2">
      <c r="A23" s="2" t="s">
        <v>94</v>
      </c>
      <c r="B23" s="9">
        <v>42278</v>
      </c>
      <c r="C23" s="3" t="s">
        <v>141</v>
      </c>
      <c r="D23" s="4" t="s">
        <v>138</v>
      </c>
      <c r="E23" s="4" t="s">
        <v>146</v>
      </c>
      <c r="F23" s="5" t="s">
        <v>145</v>
      </c>
      <c r="G23" s="3"/>
      <c r="H23" s="3"/>
      <c r="K23" t="str">
        <f>VLOOKUP(E3,$K$2:$L$4,2,0)&amp;" "&amp;VLOOKUP(E3,$K$2:$L$4,2,0)</f>
        <v>business_B2B business_B2B</v>
      </c>
    </row>
    <row r="24" spans="1:12" x14ac:dyDescent="0.2">
      <c r="A24" s="3"/>
      <c r="B24" s="3"/>
      <c r="C24" s="3"/>
      <c r="D24" s="3"/>
      <c r="E24" s="3"/>
      <c r="F24" s="3"/>
      <c r="G24" s="3"/>
      <c r="H24" s="3"/>
    </row>
    <row r="25" spans="1:12" x14ac:dyDescent="0.2">
      <c r="A25" s="2" t="s">
        <v>95</v>
      </c>
      <c r="B25" s="9">
        <v>42552</v>
      </c>
      <c r="C25" s="3" t="s">
        <v>154</v>
      </c>
      <c r="D25" s="5" t="s">
        <v>155</v>
      </c>
      <c r="E25" s="5" t="s">
        <v>146</v>
      </c>
      <c r="F25" s="5" t="s">
        <v>144</v>
      </c>
      <c r="G25" s="5" t="s">
        <v>152</v>
      </c>
      <c r="H25" s="3"/>
    </row>
    <row r="26" spans="1:12" x14ac:dyDescent="0.2">
      <c r="A26" s="2" t="s">
        <v>96</v>
      </c>
      <c r="B26" s="9">
        <v>42583</v>
      </c>
      <c r="C26" s="3" t="s">
        <v>141</v>
      </c>
      <c r="D26" s="5" t="s">
        <v>155</v>
      </c>
      <c r="E26" s="5" t="s">
        <v>139</v>
      </c>
      <c r="F26" s="3" t="s">
        <v>151</v>
      </c>
      <c r="G26" s="3"/>
      <c r="H26" s="3"/>
    </row>
    <row r="27" spans="1:12" x14ac:dyDescent="0.2">
      <c r="A27" s="2" t="s">
        <v>97</v>
      </c>
      <c r="B27" s="9">
        <v>42614</v>
      </c>
      <c r="C27" s="3" t="s">
        <v>137</v>
      </c>
      <c r="D27" s="5" t="s">
        <v>155</v>
      </c>
      <c r="E27" s="5" t="s">
        <v>139</v>
      </c>
      <c r="F27" s="3" t="s">
        <v>156</v>
      </c>
      <c r="G27" s="3"/>
      <c r="H27" s="5"/>
    </row>
    <row r="28" spans="1:12" x14ac:dyDescent="0.2">
      <c r="A28" s="2" t="s">
        <v>98</v>
      </c>
      <c r="B28" s="9">
        <v>42644</v>
      </c>
      <c r="C28" s="3" t="s">
        <v>141</v>
      </c>
      <c r="D28" s="5" t="s">
        <v>155</v>
      </c>
      <c r="E28" s="5" t="s">
        <v>139</v>
      </c>
      <c r="F28" s="5" t="s">
        <v>143</v>
      </c>
      <c r="G28" s="3"/>
      <c r="H28" s="5" t="s">
        <v>140</v>
      </c>
    </row>
    <row r="29" spans="1:12" x14ac:dyDescent="0.2">
      <c r="A29" s="2" t="s">
        <v>99</v>
      </c>
      <c r="B29" s="9">
        <v>42644</v>
      </c>
      <c r="C29" s="3" t="s">
        <v>141</v>
      </c>
      <c r="D29" s="5" t="s">
        <v>155</v>
      </c>
      <c r="E29" s="5" t="s">
        <v>135</v>
      </c>
      <c r="F29" s="5" t="s">
        <v>145</v>
      </c>
      <c r="G29" s="3" t="s">
        <v>50</v>
      </c>
      <c r="H29" s="3"/>
    </row>
    <row r="30" spans="1:12" x14ac:dyDescent="0.2">
      <c r="A30" s="2" t="s">
        <v>100</v>
      </c>
      <c r="B30" s="9">
        <v>42644</v>
      </c>
      <c r="C30" s="3" t="s">
        <v>141</v>
      </c>
      <c r="D30" s="5" t="s">
        <v>155</v>
      </c>
      <c r="E30" s="5" t="s">
        <v>146</v>
      </c>
      <c r="F30" s="5" t="s">
        <v>148</v>
      </c>
      <c r="G30" s="3"/>
      <c r="H30" s="3"/>
    </row>
    <row r="31" spans="1:12" x14ac:dyDescent="0.2">
      <c r="A31" s="2" t="s">
        <v>101</v>
      </c>
      <c r="B31" s="9">
        <v>42644</v>
      </c>
      <c r="C31" s="3" t="s">
        <v>157</v>
      </c>
      <c r="D31" s="5" t="s">
        <v>155</v>
      </c>
      <c r="E31" s="5" t="s">
        <v>139</v>
      </c>
      <c r="F31" s="3" t="s">
        <v>156</v>
      </c>
      <c r="G31" s="3" t="s">
        <v>158</v>
      </c>
      <c r="H31" s="5" t="s">
        <v>143</v>
      </c>
    </row>
    <row r="32" spans="1:12" x14ac:dyDescent="0.2">
      <c r="A32" s="2" t="s">
        <v>102</v>
      </c>
      <c r="B32" s="9">
        <v>42675</v>
      </c>
      <c r="C32" s="3" t="s">
        <v>141</v>
      </c>
      <c r="D32" s="5" t="s">
        <v>155</v>
      </c>
      <c r="E32" s="5" t="s">
        <v>139</v>
      </c>
      <c r="F32" s="3" t="s">
        <v>147</v>
      </c>
      <c r="G32" s="3"/>
      <c r="H32" s="3"/>
    </row>
    <row r="33" spans="1:8" x14ac:dyDescent="0.2">
      <c r="A33" s="2" t="s">
        <v>103</v>
      </c>
      <c r="B33" s="9">
        <v>42675</v>
      </c>
      <c r="C33" s="3" t="s">
        <v>150</v>
      </c>
      <c r="D33" s="5" t="s">
        <v>155</v>
      </c>
      <c r="E33" s="5" t="s">
        <v>146</v>
      </c>
      <c r="F33" s="5" t="s">
        <v>144</v>
      </c>
      <c r="G33" s="5" t="s">
        <v>152</v>
      </c>
      <c r="H33" s="3"/>
    </row>
    <row r="34" spans="1:8" x14ac:dyDescent="0.2">
      <c r="A34" s="2" t="s">
        <v>104</v>
      </c>
      <c r="B34" s="9">
        <v>42675</v>
      </c>
      <c r="C34" s="3" t="s">
        <v>157</v>
      </c>
      <c r="D34" s="5" t="s">
        <v>155</v>
      </c>
      <c r="E34" s="5" t="s">
        <v>146</v>
      </c>
      <c r="F34" s="5" t="s">
        <v>145</v>
      </c>
      <c r="G34" s="5" t="s">
        <v>152</v>
      </c>
      <c r="H34" s="3"/>
    </row>
    <row r="35" spans="1:8" x14ac:dyDescent="0.2">
      <c r="A35" s="2" t="s">
        <v>105</v>
      </c>
      <c r="B35" s="9">
        <v>42675</v>
      </c>
      <c r="C35" s="3" t="s">
        <v>159</v>
      </c>
      <c r="D35" s="5" t="s">
        <v>155</v>
      </c>
      <c r="E35" s="5" t="s">
        <v>135</v>
      </c>
      <c r="F35" s="5" t="s">
        <v>140</v>
      </c>
      <c r="G35" s="3"/>
      <c r="H35" s="3"/>
    </row>
    <row r="36" spans="1:8" x14ac:dyDescent="0.2">
      <c r="A36" s="2" t="s">
        <v>106</v>
      </c>
      <c r="B36" s="9">
        <v>42736</v>
      </c>
      <c r="C36" s="3" t="s">
        <v>141</v>
      </c>
      <c r="D36" s="5" t="s">
        <v>155</v>
      </c>
      <c r="E36" s="5" t="s">
        <v>146</v>
      </c>
      <c r="F36" s="3"/>
      <c r="G36" s="5" t="s">
        <v>143</v>
      </c>
      <c r="H36" s="3"/>
    </row>
    <row r="37" spans="1:8" x14ac:dyDescent="0.2">
      <c r="A37" s="2" t="s">
        <v>107</v>
      </c>
      <c r="B37" s="9">
        <v>42767</v>
      </c>
      <c r="C37" s="3" t="s">
        <v>137</v>
      </c>
      <c r="D37" s="5" t="s">
        <v>155</v>
      </c>
      <c r="E37" s="5" t="s">
        <v>139</v>
      </c>
      <c r="F37" s="3"/>
      <c r="G37" s="5" t="s">
        <v>140</v>
      </c>
      <c r="H37" s="3"/>
    </row>
    <row r="38" spans="1:8" x14ac:dyDescent="0.2">
      <c r="A38" s="2" t="s">
        <v>108</v>
      </c>
      <c r="B38" s="9">
        <v>42767</v>
      </c>
      <c r="C38" s="3" t="s">
        <v>157</v>
      </c>
      <c r="D38" s="5" t="s">
        <v>155</v>
      </c>
      <c r="E38" s="5" t="s">
        <v>139</v>
      </c>
      <c r="F38" s="5" t="s">
        <v>143</v>
      </c>
      <c r="G38" s="5" t="s">
        <v>140</v>
      </c>
      <c r="H38" s="3"/>
    </row>
    <row r="39" spans="1:8" x14ac:dyDescent="0.2">
      <c r="A39" s="2" t="s">
        <v>109</v>
      </c>
      <c r="B39" s="9">
        <v>42767</v>
      </c>
      <c r="C39" s="3" t="s">
        <v>157</v>
      </c>
      <c r="D39" s="5" t="s">
        <v>155</v>
      </c>
      <c r="E39" s="5" t="s">
        <v>146</v>
      </c>
      <c r="F39" s="5" t="s">
        <v>152</v>
      </c>
      <c r="G39" s="3"/>
      <c r="H39" s="3"/>
    </row>
    <row r="40" spans="1:8" x14ac:dyDescent="0.2">
      <c r="A40" s="2" t="s">
        <v>110</v>
      </c>
      <c r="B40" s="9">
        <v>42856</v>
      </c>
      <c r="C40" s="3" t="s">
        <v>160</v>
      </c>
      <c r="D40" s="5" t="s">
        <v>155</v>
      </c>
      <c r="E40" s="5" t="s">
        <v>146</v>
      </c>
      <c r="F40" s="5" t="s">
        <v>144</v>
      </c>
      <c r="G40" s="5" t="s">
        <v>152</v>
      </c>
      <c r="H40" s="3"/>
    </row>
    <row r="41" spans="1:8" x14ac:dyDescent="0.2">
      <c r="A41" s="2" t="s">
        <v>111</v>
      </c>
      <c r="B41" s="9">
        <v>42856</v>
      </c>
      <c r="C41" s="3" t="s">
        <v>141</v>
      </c>
      <c r="D41" s="5" t="s">
        <v>155</v>
      </c>
      <c r="E41" s="5" t="s">
        <v>135</v>
      </c>
      <c r="F41" s="3" t="s">
        <v>156</v>
      </c>
      <c r="G41" s="3"/>
      <c r="H41" s="3"/>
    </row>
    <row r="42" spans="1:8" x14ac:dyDescent="0.2">
      <c r="A42" s="2" t="s">
        <v>112</v>
      </c>
      <c r="B42" s="9">
        <v>42856</v>
      </c>
      <c r="C42" s="3" t="s">
        <v>157</v>
      </c>
      <c r="D42" s="5" t="s">
        <v>155</v>
      </c>
      <c r="E42" s="5" t="s">
        <v>139</v>
      </c>
      <c r="F42" s="3" t="s">
        <v>151</v>
      </c>
      <c r="G42" s="3"/>
      <c r="H42" s="3"/>
    </row>
    <row r="43" spans="1:8" x14ac:dyDescent="0.2">
      <c r="A43" s="2" t="s">
        <v>113</v>
      </c>
      <c r="B43" s="9">
        <v>42887</v>
      </c>
      <c r="C43" s="3" t="s">
        <v>141</v>
      </c>
      <c r="D43" s="5" t="s">
        <v>155</v>
      </c>
      <c r="E43" s="5" t="s">
        <v>146</v>
      </c>
      <c r="F43" s="3" t="s">
        <v>149</v>
      </c>
      <c r="G43" s="3"/>
      <c r="H43" s="3"/>
    </row>
    <row r="44" spans="1:8" x14ac:dyDescent="0.2">
      <c r="A44" s="2" t="s">
        <v>114</v>
      </c>
      <c r="B44" s="9">
        <v>42887</v>
      </c>
      <c r="C44" s="3" t="s">
        <v>157</v>
      </c>
      <c r="D44" s="5" t="s">
        <v>155</v>
      </c>
      <c r="E44" s="5" t="s">
        <v>146</v>
      </c>
      <c r="F44" s="5" t="s">
        <v>144</v>
      </c>
      <c r="G44" s="5" t="s">
        <v>152</v>
      </c>
      <c r="H44" s="3"/>
    </row>
    <row r="45" spans="1:8" x14ac:dyDescent="0.2">
      <c r="A45" s="2" t="s">
        <v>115</v>
      </c>
      <c r="B45" s="9">
        <v>42887</v>
      </c>
      <c r="C45" s="3" t="s">
        <v>137</v>
      </c>
      <c r="D45" s="5" t="s">
        <v>155</v>
      </c>
      <c r="E45" s="5" t="s">
        <v>139</v>
      </c>
      <c r="F45" s="3" t="s">
        <v>149</v>
      </c>
      <c r="G45" s="3"/>
      <c r="H45" s="3"/>
    </row>
    <row r="46" spans="1:8" x14ac:dyDescent="0.2">
      <c r="A46" s="2" t="s">
        <v>116</v>
      </c>
      <c r="B46" s="9">
        <v>42887</v>
      </c>
      <c r="C46" s="3" t="s">
        <v>161</v>
      </c>
      <c r="D46" s="5" t="s">
        <v>155</v>
      </c>
      <c r="E46" s="5" t="s">
        <v>139</v>
      </c>
      <c r="F46" s="5" t="s">
        <v>144</v>
      </c>
      <c r="G46" s="5" t="s">
        <v>50</v>
      </c>
      <c r="H46" s="3"/>
    </row>
    <row r="47" spans="1:8" x14ac:dyDescent="0.2">
      <c r="A47" s="2" t="s">
        <v>117</v>
      </c>
      <c r="B47" s="9">
        <v>42917</v>
      </c>
      <c r="C47" s="3" t="s">
        <v>141</v>
      </c>
      <c r="D47" s="5" t="s">
        <v>155</v>
      </c>
      <c r="E47" s="5" t="s">
        <v>135</v>
      </c>
      <c r="F47" s="3" t="s">
        <v>151</v>
      </c>
      <c r="G47" s="3"/>
      <c r="H47" s="3"/>
    </row>
    <row r="48" spans="1:8" x14ac:dyDescent="0.2">
      <c r="A48" s="2" t="s">
        <v>118</v>
      </c>
      <c r="B48" s="9">
        <v>42917</v>
      </c>
      <c r="C48" s="3" t="s">
        <v>141</v>
      </c>
      <c r="D48" s="5" t="s">
        <v>155</v>
      </c>
      <c r="E48" s="5" t="s">
        <v>139</v>
      </c>
      <c r="F48" s="3" t="s">
        <v>149</v>
      </c>
      <c r="G48" s="5"/>
      <c r="H48" s="3"/>
    </row>
    <row r="49" spans="1:8" x14ac:dyDescent="0.2">
      <c r="A49" s="2" t="s">
        <v>119</v>
      </c>
      <c r="B49" s="9">
        <v>42948</v>
      </c>
      <c r="C49" s="3" t="s">
        <v>157</v>
      </c>
      <c r="D49" s="5" t="s">
        <v>155</v>
      </c>
      <c r="E49" s="5" t="s">
        <v>139</v>
      </c>
      <c r="F49" s="5" t="s">
        <v>140</v>
      </c>
      <c r="G49" s="3"/>
      <c r="H49" s="3"/>
    </row>
    <row r="50" spans="1:8" x14ac:dyDescent="0.2">
      <c r="A50" s="2" t="s">
        <v>120</v>
      </c>
      <c r="B50" s="9">
        <v>42948</v>
      </c>
      <c r="C50" s="3" t="s">
        <v>162</v>
      </c>
      <c r="D50" s="5" t="s">
        <v>155</v>
      </c>
      <c r="E50" s="5" t="s">
        <v>139</v>
      </c>
      <c r="F50" s="5" t="s">
        <v>140</v>
      </c>
      <c r="G50" s="3"/>
      <c r="H50" s="3"/>
    </row>
    <row r="51" spans="1:8" x14ac:dyDescent="0.2">
      <c r="A51" s="2" t="s">
        <v>121</v>
      </c>
      <c r="B51" s="9">
        <v>42948</v>
      </c>
      <c r="C51" s="3" t="s">
        <v>159</v>
      </c>
      <c r="D51" s="5" t="s">
        <v>155</v>
      </c>
      <c r="E51" s="5" t="s">
        <v>139</v>
      </c>
      <c r="F51" s="3" t="s">
        <v>151</v>
      </c>
      <c r="G51" s="3"/>
      <c r="H51" s="3"/>
    </row>
    <row r="52" spans="1:8" x14ac:dyDescent="0.2">
      <c r="A52" s="2" t="s">
        <v>122</v>
      </c>
      <c r="B52" s="10">
        <v>43000</v>
      </c>
      <c r="C52" s="3" t="s">
        <v>141</v>
      </c>
      <c r="D52" s="5" t="s">
        <v>155</v>
      </c>
      <c r="E52" s="5" t="s">
        <v>135</v>
      </c>
      <c r="F52" s="3" t="s">
        <v>149</v>
      </c>
      <c r="G52" s="3"/>
      <c r="H52" s="3"/>
    </row>
    <row r="53" spans="1:8" x14ac:dyDescent="0.2">
      <c r="A53" s="2" t="s">
        <v>123</v>
      </c>
      <c r="B53" s="10">
        <v>43004</v>
      </c>
      <c r="C53" s="3" t="s">
        <v>150</v>
      </c>
      <c r="D53" s="5" t="s">
        <v>155</v>
      </c>
      <c r="E53" s="5" t="s">
        <v>139</v>
      </c>
      <c r="F53" s="3" t="s">
        <v>158</v>
      </c>
      <c r="G53" s="3"/>
      <c r="H53" s="3"/>
    </row>
    <row r="54" spans="1:8" x14ac:dyDescent="0.2">
      <c r="A54" s="2" t="s">
        <v>124</v>
      </c>
      <c r="B54" s="11">
        <v>43024</v>
      </c>
      <c r="C54" s="3" t="s">
        <v>162</v>
      </c>
      <c r="D54" s="5" t="s">
        <v>155</v>
      </c>
      <c r="E54" s="5" t="s">
        <v>139</v>
      </c>
      <c r="F54" s="5" t="s">
        <v>140</v>
      </c>
      <c r="G54" s="3"/>
      <c r="H54" s="3"/>
    </row>
    <row r="55" spans="1:8" x14ac:dyDescent="0.2">
      <c r="A55" s="2" t="s">
        <v>125</v>
      </c>
      <c r="B55" s="11">
        <v>43031</v>
      </c>
      <c r="C55" s="3" t="s">
        <v>141</v>
      </c>
      <c r="D55" s="5" t="s">
        <v>155</v>
      </c>
      <c r="E55" s="5" t="s">
        <v>146</v>
      </c>
      <c r="F55" s="3" t="s">
        <v>151</v>
      </c>
      <c r="G55" s="5" t="s">
        <v>142</v>
      </c>
      <c r="H55" s="3"/>
    </row>
    <row r="56" spans="1:8" x14ac:dyDescent="0.2">
      <c r="A56" s="2" t="s">
        <v>126</v>
      </c>
      <c r="B56" s="11">
        <v>43041</v>
      </c>
      <c r="C56" s="3" t="s">
        <v>154</v>
      </c>
      <c r="D56" s="5" t="s">
        <v>155</v>
      </c>
      <c r="E56" s="5" t="s">
        <v>139</v>
      </c>
      <c r="F56" s="5" t="s">
        <v>143</v>
      </c>
      <c r="G56" s="3" t="s">
        <v>50</v>
      </c>
      <c r="H56" s="3"/>
    </row>
    <row r="57" spans="1:8" x14ac:dyDescent="0.2">
      <c r="A57" s="2" t="s">
        <v>127</v>
      </c>
      <c r="B57" s="11">
        <v>43048</v>
      </c>
      <c r="C57" s="3" t="s">
        <v>141</v>
      </c>
      <c r="D57" s="5" t="s">
        <v>155</v>
      </c>
      <c r="E57" s="5" t="s">
        <v>135</v>
      </c>
      <c r="F57" s="3" t="s">
        <v>156</v>
      </c>
      <c r="G57" s="5" t="s">
        <v>143</v>
      </c>
      <c r="H57" s="3"/>
    </row>
    <row r="58" spans="1:8" x14ac:dyDescent="0.2">
      <c r="A58" s="2" t="s">
        <v>128</v>
      </c>
      <c r="B58" s="11">
        <v>43055</v>
      </c>
      <c r="C58" s="3" t="s">
        <v>160</v>
      </c>
      <c r="D58" s="5" t="s">
        <v>155</v>
      </c>
      <c r="E58" s="5" t="s">
        <v>139</v>
      </c>
      <c r="F58" s="3"/>
      <c r="G58" s="5" t="s">
        <v>140</v>
      </c>
      <c r="H58" s="3"/>
    </row>
    <row r="59" spans="1:8" x14ac:dyDescent="0.2">
      <c r="A59" s="2" t="s">
        <v>129</v>
      </c>
      <c r="B59" s="11">
        <v>43053</v>
      </c>
      <c r="C59" s="3" t="s">
        <v>154</v>
      </c>
      <c r="D59" s="5" t="s">
        <v>155</v>
      </c>
      <c r="E59" s="5" t="s">
        <v>139</v>
      </c>
      <c r="F59" s="5" t="s">
        <v>140</v>
      </c>
      <c r="G59" s="3"/>
      <c r="H59" s="3"/>
    </row>
    <row r="60" spans="1:8" x14ac:dyDescent="0.2">
      <c r="A60" s="2" t="s">
        <v>130</v>
      </c>
      <c r="B60" s="11">
        <v>43060</v>
      </c>
      <c r="C60" s="3" t="s">
        <v>159</v>
      </c>
      <c r="D60" s="5" t="s">
        <v>155</v>
      </c>
      <c r="E60" s="5" t="s">
        <v>146</v>
      </c>
      <c r="F60" s="3" t="s">
        <v>147</v>
      </c>
      <c r="G60" s="5" t="s">
        <v>148</v>
      </c>
      <c r="H60" s="3"/>
    </row>
    <row r="61" spans="1:8" x14ac:dyDescent="0.2">
      <c r="A61" s="2" t="s">
        <v>131</v>
      </c>
      <c r="B61" s="11">
        <v>43066</v>
      </c>
      <c r="C61" s="3" t="s">
        <v>157</v>
      </c>
      <c r="D61" s="5" t="s">
        <v>155</v>
      </c>
      <c r="E61" s="4" t="s">
        <v>139</v>
      </c>
      <c r="F61" s="5" t="s">
        <v>149</v>
      </c>
      <c r="G61" s="3"/>
      <c r="H61" s="3"/>
    </row>
    <row r="62" spans="1:8" x14ac:dyDescent="0.2">
      <c r="A62" s="3"/>
      <c r="B62" s="3"/>
      <c r="C62" s="3"/>
      <c r="D62" s="4"/>
      <c r="E62" s="3"/>
      <c r="F62" s="3"/>
      <c r="G62" s="3"/>
      <c r="H62" s="3"/>
    </row>
    <row r="63" spans="1:8" x14ac:dyDescent="0.2">
      <c r="A63" s="3"/>
      <c r="B63" s="3"/>
      <c r="C63" s="3"/>
      <c r="D63" s="3"/>
      <c r="E63" s="3"/>
      <c r="F63" s="3"/>
      <c r="G63" s="3"/>
      <c r="H63" s="3"/>
    </row>
    <row r="64" spans="1:8" x14ac:dyDescent="0.2">
      <c r="A64" s="3"/>
      <c r="B64" s="3"/>
      <c r="C64" s="3"/>
      <c r="D64" s="3"/>
      <c r="E64" s="3"/>
      <c r="F64" s="3"/>
      <c r="G64" s="3"/>
      <c r="H64" s="3"/>
    </row>
    <row r="65" spans="1:8" x14ac:dyDescent="0.2">
      <c r="A65" s="3"/>
      <c r="B65" s="3"/>
      <c r="C65" s="3"/>
      <c r="D65" s="3"/>
      <c r="E65" s="3"/>
      <c r="F65" s="3"/>
      <c r="G65" s="3"/>
      <c r="H65" s="3"/>
    </row>
  </sheetData>
  <hyperlinks>
    <hyperlink ref="A3" r:id="rId1"/>
    <hyperlink ref="A4" r:id="rId2"/>
    <hyperlink ref="A5" r:id="rId3"/>
    <hyperlink ref="A6" r:id="rId4"/>
    <hyperlink ref="A7" r:id="rId5"/>
    <hyperlink ref="A8" r:id="rId6"/>
    <hyperlink ref="A9" r:id="rId7"/>
    <hyperlink ref="A10" r:id="rId8"/>
    <hyperlink ref="A11" r:id="rId9"/>
    <hyperlink ref="A12" r:id="rId10"/>
    <hyperlink ref="A13" r:id="rId11"/>
    <hyperlink ref="A14" r:id="rId12"/>
    <hyperlink ref="A15" r:id="rId13"/>
    <hyperlink ref="A16" r:id="rId14"/>
    <hyperlink ref="A17" r:id="rId15"/>
    <hyperlink ref="A18" r:id="rId16"/>
    <hyperlink ref="A19" r:id="rId17"/>
    <hyperlink ref="A20" r:id="rId18"/>
    <hyperlink ref="A21" r:id="rId19"/>
    <hyperlink ref="A22" r:id="rId20"/>
    <hyperlink ref="A23" r:id="rId21"/>
    <hyperlink ref="A25" r:id="rId22"/>
    <hyperlink ref="A26" r:id="rId23"/>
    <hyperlink ref="A27" r:id="rId24"/>
    <hyperlink ref="A28" r:id="rId25"/>
    <hyperlink ref="A29" r:id="rId26"/>
    <hyperlink ref="A30" r:id="rId27"/>
    <hyperlink ref="A31" r:id="rId28"/>
    <hyperlink ref="A32" r:id="rId29"/>
    <hyperlink ref="A33" r:id="rId30"/>
    <hyperlink ref="A34" r:id="rId31"/>
    <hyperlink ref="A35" r:id="rId32"/>
    <hyperlink ref="A36" r:id="rId33"/>
    <hyperlink ref="A37" r:id="rId34"/>
    <hyperlink ref="A38" r:id="rId35"/>
    <hyperlink ref="A39" r:id="rId36"/>
    <hyperlink ref="A40" r:id="rId37"/>
    <hyperlink ref="A41" r:id="rId38"/>
    <hyperlink ref="A42" r:id="rId39"/>
    <hyperlink ref="A43" r:id="rId40"/>
    <hyperlink ref="A44" r:id="rId41"/>
    <hyperlink ref="A45" r:id="rId42"/>
    <hyperlink ref="A46" r:id="rId43"/>
    <hyperlink ref="A47" r:id="rId44"/>
    <hyperlink ref="A48" r:id="rId45"/>
    <hyperlink ref="A49" r:id="rId46"/>
    <hyperlink ref="A50" r:id="rId47"/>
    <hyperlink ref="A51" r:id="rId48"/>
    <hyperlink ref="A52" r:id="rId49"/>
    <hyperlink ref="A53" r:id="rId50"/>
    <hyperlink ref="A54" r:id="rId51"/>
    <hyperlink ref="A55" r:id="rId52"/>
    <hyperlink ref="A56" r:id="rId53"/>
    <hyperlink ref="A57" r:id="rId54"/>
    <hyperlink ref="A58" r:id="rId55"/>
    <hyperlink ref="A59" r:id="rId56"/>
    <hyperlink ref="A60" r:id="rId57"/>
    <hyperlink ref="A61" r:id="rId5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advisors</vt:lpstr>
      <vt:lpstr>team</vt:lpstr>
      <vt:lpstr>portfolio</vt:lpstr>
      <vt:lpstr>portfolio_data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2017-12-14T16:58:19Z</dcterms:created>
  <dcterms:modified xsi:type="dcterms:W3CDTF">2017-12-26T21:49:17Z</dcterms:modified>
</cp:coreProperties>
</file>